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yamghoo/Github/MHC/01/r_input/"/>
    </mc:Choice>
  </mc:AlternateContent>
  <xr:revisionPtr revIDLastSave="0" documentId="13_ncr:1_{E6D47F68-1EB0-9A40-8546-D95086AE9AA5}" xr6:coauthVersionLast="47" xr6:coauthVersionMax="47" xr10:uidLastSave="{00000000-0000-0000-0000-000000000000}"/>
  <bookViews>
    <workbookView xWindow="35720" yWindow="600" windowWidth="33080" windowHeight="26260" xr2:uid="{00000000-000D-0000-FFFF-FFFF00000000}"/>
  </bookViews>
  <sheets>
    <sheet name="AllSamples1_30_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E32" i="1" l="1"/>
  <c r="RW32" i="1"/>
  <c r="MO32" i="1"/>
  <c r="IO32" i="1"/>
  <c r="GD32" i="1"/>
  <c r="E32" i="1"/>
  <c r="D32" i="1"/>
  <c r="TQ34" i="1"/>
  <c r="TJ34" i="1"/>
  <c r="PB34" i="1"/>
  <c r="NY34" i="1"/>
  <c r="NX34" i="1"/>
  <c r="NR34" i="1"/>
  <c r="E34" i="1"/>
  <c r="D34" i="1"/>
  <c r="RU36" i="1"/>
  <c r="QH36" i="1"/>
  <c r="QB36" i="1"/>
  <c r="MA36" i="1"/>
  <c r="LQ36" i="1"/>
  <c r="JI36" i="1"/>
  <c r="IR36" i="1"/>
  <c r="HT36" i="1"/>
  <c r="GD36" i="1"/>
  <c r="E36" i="1"/>
  <c r="D36" i="1"/>
  <c r="UQ33" i="1"/>
  <c r="UL33" i="1"/>
  <c r="SY33" i="1"/>
  <c r="LI33" i="1"/>
  <c r="KM33" i="1"/>
  <c r="E33" i="1"/>
  <c r="D33" i="1"/>
  <c r="SG28" i="1"/>
  <c r="PM28" i="1"/>
  <c r="LT28" i="1"/>
  <c r="KY28" i="1"/>
  <c r="KL28" i="1"/>
  <c r="JV28" i="1"/>
  <c r="HE28" i="1"/>
  <c r="E28" i="1"/>
  <c r="D28" i="1"/>
  <c r="EI31" i="1"/>
  <c r="DP31" i="1"/>
  <c r="DI31" i="1"/>
  <c r="E31" i="1"/>
  <c r="D31" i="1"/>
  <c r="RW29" i="1"/>
  <c r="CX29" i="1"/>
  <c r="E29" i="1"/>
  <c r="D29" i="1"/>
  <c r="SO24" i="1"/>
  <c r="SN24" i="1"/>
  <c r="QD24" i="1"/>
  <c r="QC24" i="1"/>
  <c r="PF24" i="1"/>
  <c r="PE24" i="1"/>
  <c r="PD24" i="1"/>
  <c r="OV24" i="1"/>
  <c r="NW24" i="1"/>
  <c r="NU24" i="1"/>
  <c r="NQ24" i="1"/>
  <c r="E24" i="1"/>
  <c r="D24" i="1"/>
  <c r="PA23" i="1"/>
  <c r="OZ23" i="1"/>
  <c r="OK23" i="1"/>
  <c r="OF23" i="1"/>
  <c r="OD23" i="1"/>
  <c r="E23" i="1"/>
  <c r="D23" i="1"/>
  <c r="VG19" i="1"/>
  <c r="RE19" i="1"/>
  <c r="QW19" i="1"/>
  <c r="QU19" i="1"/>
  <c r="QF19" i="1"/>
  <c r="PS19" i="1"/>
  <c r="PG19" i="1"/>
  <c r="PC19" i="1"/>
  <c r="PA19" i="1"/>
  <c r="OZ19" i="1"/>
  <c r="OX19" i="1"/>
  <c r="OC19" i="1"/>
  <c r="OA19" i="1"/>
  <c r="NI19" i="1"/>
  <c r="NG19" i="1"/>
  <c r="LC19" i="1"/>
  <c r="JZ19" i="1"/>
  <c r="JY19" i="1"/>
  <c r="JU19" i="1"/>
  <c r="JT19" i="1"/>
  <c r="JS19" i="1"/>
  <c r="JM19" i="1"/>
  <c r="IY19" i="1"/>
  <c r="IW19" i="1"/>
  <c r="IU19" i="1"/>
  <c r="IP19" i="1"/>
  <c r="V19" i="1"/>
  <c r="E19" i="1"/>
  <c r="D19" i="1"/>
  <c r="SP21" i="1"/>
  <c r="SG21" i="1"/>
  <c r="SF21" i="1"/>
  <c r="SE21" i="1"/>
  <c r="SD21" i="1"/>
  <c r="SC21" i="1"/>
  <c r="SB21" i="1"/>
  <c r="SA21" i="1"/>
  <c r="RZ21" i="1"/>
  <c r="NU21" i="1"/>
  <c r="KY21" i="1"/>
  <c r="KX21" i="1"/>
  <c r="IZ21" i="1"/>
  <c r="IY21" i="1"/>
  <c r="IV21" i="1"/>
  <c r="EH21" i="1"/>
  <c r="DL21" i="1"/>
  <c r="E21" i="1"/>
  <c r="D21" i="1"/>
  <c r="PY72" i="1"/>
  <c r="E72" i="1"/>
  <c r="D72" i="1"/>
  <c r="PY71" i="1"/>
  <c r="E71" i="1" s="1"/>
  <c r="D71" i="1"/>
  <c r="PY70" i="1"/>
  <c r="E70" i="1"/>
  <c r="D70" i="1"/>
  <c r="PX69" i="1"/>
  <c r="BA68" i="1"/>
  <c r="E68" i="1"/>
  <c r="D68" i="1"/>
  <c r="BL67" i="1"/>
  <c r="E67" i="1"/>
  <c r="D67" i="1"/>
  <c r="BM66" i="1"/>
  <c r="E66" i="1"/>
  <c r="D66" i="1"/>
  <c r="U65" i="1"/>
  <c r="E65" i="1"/>
  <c r="D65" i="1"/>
  <c r="SR64" i="1"/>
  <c r="E64" i="1"/>
  <c r="D64" i="1"/>
  <c r="BL63" i="1"/>
  <c r="BA63" i="1"/>
  <c r="E63" i="1"/>
  <c r="D63" i="1"/>
  <c r="SF62" i="1"/>
  <c r="E62" i="1"/>
  <c r="D62" i="1"/>
  <c r="KV61" i="1"/>
  <c r="E61" i="1"/>
  <c r="D61" i="1"/>
  <c r="UZ60" i="1"/>
  <c r="E60" i="1"/>
  <c r="D60" i="1"/>
  <c r="TY59" i="1"/>
  <c r="AQ59" i="1"/>
  <c r="R59" i="1"/>
  <c r="E59" i="1"/>
  <c r="D59" i="1"/>
  <c r="AK58" i="1"/>
  <c r="Z58" i="1"/>
  <c r="Y58" i="1"/>
  <c r="R58" i="1"/>
  <c r="E58" i="1"/>
  <c r="D58" i="1"/>
  <c r="NR57" i="1"/>
  <c r="E57" i="1"/>
  <c r="D57" i="1"/>
  <c r="JS56" i="1"/>
  <c r="E56" i="1"/>
  <c r="D56" i="1"/>
  <c r="MI55" i="1"/>
  <c r="E55" i="1"/>
  <c r="D55" i="1"/>
  <c r="LO54" i="1"/>
  <c r="E54" i="1"/>
  <c r="D54" i="1"/>
  <c r="MV53" i="1"/>
  <c r="MT53" i="1"/>
  <c r="MP53" i="1"/>
  <c r="LY53" i="1"/>
  <c r="E53" i="1"/>
  <c r="D53" i="1"/>
  <c r="PA52" i="1"/>
  <c r="OZ52" i="1"/>
  <c r="E52" i="1"/>
  <c r="D52" i="1"/>
  <c r="NH51" i="1"/>
  <c r="LT51" i="1"/>
  <c r="E51" i="1"/>
  <c r="D51" i="1"/>
  <c r="LO50" i="1"/>
  <c r="E50" i="1"/>
  <c r="D50" i="1"/>
  <c r="OE49" i="1"/>
  <c r="E49" i="1"/>
  <c r="D49" i="1"/>
  <c r="UT48" i="1"/>
  <c r="LZ48" i="1"/>
  <c r="E48" i="1"/>
  <c r="D48" i="1"/>
  <c r="ON47" i="1"/>
  <c r="E47" i="1"/>
  <c r="D47" i="1"/>
  <c r="SR46" i="1"/>
  <c r="SI46" i="1"/>
  <c r="PX46" i="1"/>
  <c r="PN46" i="1"/>
  <c r="E46" i="1"/>
  <c r="D46" i="1"/>
  <c r="RB45" i="1"/>
  <c r="QL45" i="1"/>
  <c r="PZ45" i="1"/>
  <c r="E45" i="1"/>
  <c r="D45" i="1"/>
  <c r="EL44" i="1"/>
  <c r="E44" i="1"/>
  <c r="D44" i="1"/>
  <c r="OR43" i="1"/>
  <c r="E43" i="1"/>
  <c r="D43" i="1"/>
  <c r="PC42" i="1"/>
  <c r="JR42" i="1"/>
  <c r="E42" i="1"/>
  <c r="D42" i="1"/>
  <c r="PB41" i="1"/>
  <c r="OF41" i="1"/>
  <c r="E41" i="1"/>
  <c r="D41" i="1"/>
  <c r="EI40" i="1"/>
  <c r="EH40" i="1"/>
  <c r="E40" i="1"/>
  <c r="D40" i="1"/>
  <c r="TQ39" i="1"/>
  <c r="TP39" i="1"/>
  <c r="TN39" i="1"/>
  <c r="JA39" i="1"/>
  <c r="RK38" i="1"/>
  <c r="RJ38" i="1"/>
  <c r="RH38" i="1"/>
  <c r="RD38" i="1"/>
  <c r="PX38" i="1"/>
  <c r="PT38" i="1"/>
  <c r="K38" i="1"/>
  <c r="E38" i="1"/>
  <c r="D38" i="1"/>
  <c r="UI37" i="1"/>
  <c r="UC37" i="1"/>
  <c r="E37" i="1"/>
  <c r="D37" i="1"/>
  <c r="JD30" i="1"/>
  <c r="JB30" i="1"/>
  <c r="FF30" i="1"/>
  <c r="EF30" i="1"/>
  <c r="CU30" i="1"/>
  <c r="AQ30" i="1"/>
  <c r="AK30" i="1"/>
  <c r="AG30" i="1"/>
  <c r="Z30" i="1"/>
  <c r="W30" i="1"/>
  <c r="S30" i="1"/>
  <c r="R30" i="1"/>
  <c r="O30" i="1"/>
  <c r="E30" i="1"/>
  <c r="D30" i="1"/>
  <c r="MV27" i="1"/>
  <c r="MT27" i="1"/>
  <c r="MP27" i="1"/>
  <c r="MJ27" i="1"/>
  <c r="MI27" i="1"/>
  <c r="MH27" i="1"/>
  <c r="LY27" i="1"/>
  <c r="E27" i="1"/>
  <c r="D27" i="1"/>
  <c r="LO26" i="1"/>
  <c r="KD26" i="1"/>
  <c r="JZ26" i="1"/>
  <c r="JS26" i="1"/>
  <c r="JR26" i="1"/>
  <c r="E26" i="1"/>
  <c r="D26" i="1"/>
  <c r="JD25" i="1"/>
  <c r="JC25" i="1"/>
  <c r="JB25" i="1"/>
  <c r="EL25" i="1"/>
  <c r="EF25" i="1"/>
  <c r="AQ25" i="1"/>
  <c r="AL25" i="1"/>
  <c r="AK25" i="1"/>
  <c r="AB25" i="1"/>
  <c r="Y25" i="1"/>
  <c r="W25" i="1"/>
  <c r="V25" i="1"/>
  <c r="T25" i="1"/>
  <c r="S25" i="1"/>
  <c r="R25" i="1"/>
  <c r="Q25" i="1"/>
  <c r="P25" i="1"/>
  <c r="O25" i="1"/>
  <c r="E25" i="1"/>
  <c r="D25" i="1"/>
  <c r="VA22" i="1"/>
  <c r="TQ22" i="1"/>
  <c r="TP22" i="1"/>
  <c r="TN22" i="1"/>
  <c r="TK22" i="1"/>
  <c r="TI22" i="1"/>
  <c r="TH22" i="1"/>
  <c r="TG22" i="1"/>
  <c r="TF22" i="1"/>
  <c r="TE22" i="1"/>
  <c r="RU22" i="1"/>
  <c r="QB22" i="1"/>
  <c r="OY22" i="1"/>
  <c r="MV22" i="1"/>
  <c r="MN22" i="1"/>
  <c r="MM22" i="1"/>
  <c r="MF22" i="1"/>
  <c r="MA22" i="1"/>
  <c r="LS22" i="1"/>
  <c r="LQ22" i="1"/>
  <c r="LP22" i="1"/>
  <c r="KM22" i="1"/>
  <c r="FV22" i="1"/>
  <c r="U22" i="1"/>
  <c r="E22" i="1" s="1"/>
  <c r="D22" i="1"/>
  <c r="SO20" i="1"/>
  <c r="SN20" i="1"/>
  <c r="QD20" i="1"/>
  <c r="QC20" i="1"/>
  <c r="PH20" i="1"/>
  <c r="OZ20" i="1"/>
  <c r="OO20" i="1"/>
  <c r="OF20" i="1"/>
  <c r="OD20" i="1"/>
  <c r="MU20" i="1"/>
  <c r="MO20" i="1"/>
  <c r="MJ20" i="1"/>
  <c r="ME20" i="1"/>
  <c r="IP20" i="1"/>
  <c r="IO20" i="1"/>
  <c r="IG20" i="1"/>
  <c r="GJ20" i="1"/>
  <c r="GG20" i="1"/>
  <c r="FW20" i="1"/>
  <c r="E20" i="1"/>
  <c r="D20" i="1"/>
  <c r="UI18" i="1"/>
  <c r="UE18" i="1"/>
  <c r="TU18" i="1"/>
  <c r="TT18" i="1"/>
  <c r="TS18" i="1"/>
  <c r="JD18" i="1"/>
  <c r="JC18" i="1"/>
  <c r="JB18" i="1"/>
  <c r="FN18" i="1"/>
  <c r="FM18" i="1"/>
  <c r="FJ18" i="1"/>
  <c r="FH18" i="1"/>
  <c r="FE18" i="1"/>
  <c r="FA18" i="1"/>
  <c r="EV18" i="1"/>
  <c r="EU18" i="1"/>
  <c r="EE18" i="1"/>
  <c r="EC18" i="1"/>
  <c r="EA18" i="1"/>
  <c r="DY18" i="1"/>
  <c r="DQ18" i="1"/>
  <c r="CW18" i="1"/>
  <c r="VH17" i="1"/>
  <c r="TJ17" i="1"/>
  <c r="TI17" i="1"/>
  <c r="TA17" i="1"/>
  <c r="SE17" i="1"/>
  <c r="SC17" i="1"/>
  <c r="RI17" i="1"/>
  <c r="RC17" i="1"/>
  <c r="QT17" i="1"/>
  <c r="QM17" i="1"/>
  <c r="QD17" i="1"/>
  <c r="PV17" i="1"/>
  <c r="PU17" i="1"/>
  <c r="PR17" i="1"/>
  <c r="OW17" i="1"/>
  <c r="NZ17" i="1"/>
  <c r="NG17" i="1"/>
  <c r="MS17" i="1"/>
  <c r="MG17" i="1"/>
  <c r="LX17" i="1"/>
  <c r="LU17" i="1"/>
  <c r="LM17" i="1"/>
  <c r="LF17" i="1"/>
  <c r="KO17" i="1"/>
  <c r="KI17" i="1"/>
  <c r="KC17" i="1"/>
  <c r="JY17" i="1"/>
  <c r="JW17" i="1"/>
  <c r="IS17" i="1"/>
  <c r="IQ17" i="1"/>
  <c r="IM17" i="1"/>
  <c r="IK17" i="1"/>
  <c r="IH17" i="1"/>
  <c r="IF17" i="1"/>
  <c r="HP17" i="1"/>
  <c r="HJ17" i="1"/>
  <c r="HH17" i="1"/>
  <c r="GN17" i="1"/>
  <c r="GI17" i="1"/>
  <c r="GF17" i="1"/>
  <c r="FW17" i="1"/>
  <c r="FU17" i="1"/>
  <c r="FT17" i="1"/>
  <c r="FS17" i="1"/>
  <c r="FC17" i="1"/>
  <c r="ET17" i="1"/>
  <c r="ES17" i="1"/>
  <c r="EQ17" i="1"/>
  <c r="EP17" i="1"/>
  <c r="EO17" i="1"/>
  <c r="BD17" i="1"/>
  <c r="E17" i="1"/>
  <c r="D17" i="1"/>
  <c r="UZ16" i="1"/>
  <c r="UW16" i="1"/>
  <c r="UM16" i="1"/>
  <c r="TR16" i="1"/>
  <c r="SP16" i="1"/>
  <c r="SK16" i="1"/>
  <c r="RX16" i="1"/>
  <c r="RV16" i="1"/>
  <c r="RT16" i="1"/>
  <c r="RF16" i="1"/>
  <c r="PZ16" i="1"/>
  <c r="PW16" i="1"/>
  <c r="PU16" i="1"/>
  <c r="OT16" i="1"/>
  <c r="OL16" i="1"/>
  <c r="OA16" i="1"/>
  <c r="NM16" i="1"/>
  <c r="MQ16" i="1"/>
  <c r="LO16" i="1"/>
  <c r="LJ16" i="1"/>
  <c r="LH16" i="1"/>
  <c r="LG16" i="1"/>
  <c r="LF16" i="1"/>
  <c r="LB16" i="1"/>
  <c r="KP16" i="1"/>
  <c r="KH16" i="1"/>
  <c r="JN16" i="1"/>
  <c r="IM16" i="1"/>
  <c r="IL16" i="1"/>
  <c r="IH16" i="1"/>
  <c r="IG16" i="1"/>
  <c r="HR16" i="1"/>
  <c r="HK16" i="1"/>
  <c r="HI16" i="1"/>
  <c r="HF16" i="1"/>
  <c r="HC16" i="1"/>
  <c r="GV16" i="1"/>
  <c r="GS16" i="1"/>
  <c r="GR16" i="1"/>
  <c r="FZ16" i="1"/>
  <c r="FM16" i="1"/>
  <c r="FJ16" i="1"/>
  <c r="EB16" i="1"/>
  <c r="DH16" i="1"/>
  <c r="DD16" i="1"/>
  <c r="BU16" i="1"/>
  <c r="BH16" i="1"/>
  <c r="AL16" i="1"/>
  <c r="AA16" i="1"/>
  <c r="E16" i="1" s="1"/>
  <c r="D16" i="1"/>
  <c r="VG15" i="1"/>
  <c r="VF15" i="1"/>
  <c r="VA15" i="1"/>
  <c r="UR15" i="1"/>
  <c r="UA15" i="1"/>
  <c r="TQ15" i="1"/>
  <c r="TP15" i="1"/>
  <c r="TN15" i="1"/>
  <c r="TK15" i="1"/>
  <c r="TJ15" i="1"/>
  <c r="TH15" i="1"/>
  <c r="TG15" i="1"/>
  <c r="TF15" i="1"/>
  <c r="TE15" i="1"/>
  <c r="TD15" i="1"/>
  <c r="TC15" i="1"/>
  <c r="TB15" i="1"/>
  <c r="TA15" i="1"/>
  <c r="RU15" i="1"/>
  <c r="RT15" i="1"/>
  <c r="RS15" i="1"/>
  <c r="RB15" i="1"/>
  <c r="QN15" i="1"/>
  <c r="QL15" i="1"/>
  <c r="QK15" i="1"/>
  <c r="QJ15" i="1"/>
  <c r="QI15" i="1"/>
  <c r="QH15" i="1"/>
  <c r="QG15" i="1"/>
  <c r="QB15" i="1"/>
  <c r="PZ15" i="1"/>
  <c r="PX15" i="1"/>
  <c r="PG15" i="1"/>
  <c r="PE15" i="1"/>
  <c r="PD15" i="1"/>
  <c r="PC15" i="1"/>
  <c r="OY15" i="1"/>
  <c r="OS15" i="1"/>
  <c r="OR15" i="1"/>
  <c r="ON15" i="1"/>
  <c r="OK15" i="1"/>
  <c r="OJ15" i="1"/>
  <c r="OE15" i="1"/>
  <c r="OC15" i="1"/>
  <c r="OB15" i="1"/>
  <c r="OA15" i="1"/>
  <c r="NY15" i="1"/>
  <c r="NV15" i="1"/>
  <c r="NU15" i="1"/>
  <c r="NR15" i="1"/>
  <c r="NI15" i="1"/>
  <c r="NG15" i="1"/>
  <c r="MU15" i="1"/>
  <c r="MK15" i="1"/>
  <c r="MF15" i="1"/>
  <c r="MA15" i="1"/>
  <c r="LW15" i="1"/>
  <c r="LD15" i="1"/>
  <c r="JS15" i="1"/>
  <c r="JO15" i="1"/>
  <c r="JJ15" i="1"/>
  <c r="JI15" i="1"/>
  <c r="JA15" i="1"/>
  <c r="IY15" i="1"/>
  <c r="IW15" i="1"/>
  <c r="IR15" i="1"/>
  <c r="IQ15" i="1"/>
  <c r="IP15" i="1"/>
  <c r="IL15" i="1"/>
  <c r="IG15" i="1"/>
  <c r="HT15" i="1"/>
  <c r="HI15" i="1"/>
  <c r="GH15" i="1"/>
  <c r="GD15" i="1"/>
  <c r="FZ15" i="1"/>
  <c r="FV15" i="1"/>
  <c r="EJ15" i="1"/>
  <c r="AV15" i="1"/>
  <c r="AP15" i="1"/>
  <c r="AO15" i="1"/>
  <c r="O15" i="1"/>
  <c r="E15" i="1"/>
  <c r="D15" i="1"/>
  <c r="VH14" i="1"/>
  <c r="UU14" i="1"/>
  <c r="US14" i="1"/>
  <c r="TO14" i="1"/>
  <c r="TM14" i="1"/>
  <c r="TJ14" i="1"/>
  <c r="TI14" i="1"/>
  <c r="TC14" i="1"/>
  <c r="TB14" i="1"/>
  <c r="SZ14" i="1"/>
  <c r="SY14" i="1"/>
  <c r="SX14" i="1"/>
  <c r="SS14" i="1"/>
  <c r="SQ14" i="1"/>
  <c r="SI14" i="1"/>
  <c r="SG14" i="1"/>
  <c r="SF14" i="1"/>
  <c r="SE14" i="1"/>
  <c r="SD14" i="1"/>
  <c r="SC14" i="1"/>
  <c r="SA14" i="1"/>
  <c r="RZ14" i="1"/>
  <c r="RZ3" i="1" s="1"/>
  <c r="RN14" i="1"/>
  <c r="RL14" i="1"/>
  <c r="RK14" i="1"/>
  <c r="RH14" i="1"/>
  <c r="RG14" i="1"/>
  <c r="RD14" i="1"/>
  <c r="RC14" i="1"/>
  <c r="RA14" i="1"/>
  <c r="QY14" i="1"/>
  <c r="QW14" i="1"/>
  <c r="QT14" i="1"/>
  <c r="QS14" i="1"/>
  <c r="QM14" i="1"/>
  <c r="QL14" i="1"/>
  <c r="QJ14" i="1"/>
  <c r="QD14" i="1"/>
  <c r="QC14" i="1"/>
  <c r="PX14" i="1"/>
  <c r="PW14" i="1"/>
  <c r="PU14" i="1"/>
  <c r="PT14" i="1"/>
  <c r="PR14" i="1"/>
  <c r="PO14" i="1"/>
  <c r="PN14" i="1"/>
  <c r="PM14" i="1"/>
  <c r="PL14" i="1"/>
  <c r="PK14" i="1"/>
  <c r="PI14" i="1"/>
  <c r="OW14" i="1"/>
  <c r="NK14" i="1"/>
  <c r="NG14" i="1"/>
  <c r="MS14" i="1"/>
  <c r="MG14" i="1"/>
  <c r="LY14" i="1"/>
  <c r="LX14" i="1"/>
  <c r="LV14" i="1"/>
  <c r="LU14" i="1"/>
  <c r="LT14" i="1"/>
  <c r="LR14" i="1"/>
  <c r="LN14" i="1"/>
  <c r="LM14" i="1"/>
  <c r="LC14" i="1"/>
  <c r="KY14" i="1"/>
  <c r="KX14" i="1"/>
  <c r="KW14" i="1"/>
  <c r="KO14" i="1"/>
  <c r="KL14" i="1"/>
  <c r="KJ14" i="1"/>
  <c r="KI14" i="1"/>
  <c r="KH14" i="1"/>
  <c r="KC14" i="1"/>
  <c r="JY14" i="1"/>
  <c r="JX14" i="1"/>
  <c r="JV14" i="1"/>
  <c r="IZ14" i="1"/>
  <c r="IY14" i="1"/>
  <c r="IS14" i="1"/>
  <c r="IK14" i="1"/>
  <c r="IJ14" i="1"/>
  <c r="IH14" i="1"/>
  <c r="IF14" i="1"/>
  <c r="HJ14" i="1"/>
  <c r="HH14" i="1"/>
  <c r="GZ14" i="1"/>
  <c r="GW14" i="1"/>
  <c r="GO14" i="1"/>
  <c r="GI14" i="1"/>
  <c r="GF14" i="1"/>
  <c r="GB14" i="1"/>
  <c r="FX14" i="1"/>
  <c r="FW14" i="1"/>
  <c r="FU14" i="1"/>
  <c r="FT14" i="1"/>
  <c r="FS14" i="1"/>
  <c r="FD14" i="1"/>
  <c r="EU14" i="1"/>
  <c r="ET14" i="1"/>
  <c r="EQ14" i="1"/>
  <c r="EO14" i="1"/>
  <c r="CI14" i="1"/>
  <c r="BS14" i="1"/>
  <c r="X14" i="1"/>
  <c r="N14" i="1"/>
  <c r="K14" i="1"/>
  <c r="VG13" i="1"/>
  <c r="VF13" i="1"/>
  <c r="VB13" i="1"/>
  <c r="UZ13" i="1"/>
  <c r="UV13" i="1"/>
  <c r="UP13" i="1"/>
  <c r="UN13" i="1"/>
  <c r="UM13" i="1"/>
  <c r="TZ13" i="1"/>
  <c r="TR13" i="1"/>
  <c r="TL13" i="1"/>
  <c r="ST13" i="1"/>
  <c r="SP13" i="1"/>
  <c r="SK13" i="1"/>
  <c r="SJ13" i="1"/>
  <c r="SH13" i="1"/>
  <c r="RX13" i="1"/>
  <c r="RW13" i="1"/>
  <c r="RL13" i="1"/>
  <c r="RI13" i="1"/>
  <c r="RE13" i="1"/>
  <c r="QW13" i="1"/>
  <c r="QU13" i="1"/>
  <c r="QP13" i="1"/>
  <c r="QM13" i="1"/>
  <c r="QF13" i="1"/>
  <c r="PZ13" i="1"/>
  <c r="PV13" i="1"/>
  <c r="PS13" i="1"/>
  <c r="PA13" i="1"/>
  <c r="OX13" i="1"/>
  <c r="OP13" i="1"/>
  <c r="OO13" i="1"/>
  <c r="OM13" i="1"/>
  <c r="OC13" i="1"/>
  <c r="OB13" i="1"/>
  <c r="NW13" i="1"/>
  <c r="NO13" i="1"/>
  <c r="NN13" i="1"/>
  <c r="NM13" i="1"/>
  <c r="NG13" i="1"/>
  <c r="MQ13" i="1"/>
  <c r="LO13" i="1"/>
  <c r="LJ13" i="1"/>
  <c r="LH13" i="1"/>
  <c r="LG13" i="1"/>
  <c r="LF13" i="1"/>
  <c r="LD13" i="1"/>
  <c r="LC13" i="1"/>
  <c r="KS13" i="1"/>
  <c r="KP13" i="1"/>
  <c r="KN13" i="1"/>
  <c r="KH13" i="1"/>
  <c r="KF13" i="1"/>
  <c r="KE13" i="1"/>
  <c r="KC13" i="1"/>
  <c r="KB13" i="1"/>
  <c r="JT13" i="1"/>
  <c r="JM13" i="1"/>
  <c r="JC13" i="1"/>
  <c r="IZ13" i="1"/>
  <c r="IX13" i="1"/>
  <c r="IW13" i="1"/>
  <c r="IV13" i="1"/>
  <c r="IU13" i="1"/>
  <c r="IT13" i="1"/>
  <c r="IP13" i="1"/>
  <c r="IO13" i="1"/>
  <c r="IN13" i="1"/>
  <c r="IM13" i="1"/>
  <c r="II13" i="1"/>
  <c r="IH13" i="1"/>
  <c r="IG13" i="1"/>
  <c r="HR13" i="1"/>
  <c r="HK13" i="1"/>
  <c r="HF13" i="1"/>
  <c r="HD13" i="1"/>
  <c r="HB13" i="1"/>
  <c r="HA13" i="1"/>
  <c r="GV13" i="1"/>
  <c r="GU13" i="1"/>
  <c r="GS13" i="1"/>
  <c r="GR13" i="1"/>
  <c r="GJ13" i="1"/>
  <c r="GG13" i="1"/>
  <c r="GD13" i="1"/>
  <c r="GC13" i="1"/>
  <c r="FW13" i="1"/>
  <c r="FP13" i="1"/>
  <c r="FM13" i="1"/>
  <c r="FK13" i="1"/>
  <c r="FJ13" i="1"/>
  <c r="FI13" i="1"/>
  <c r="EZ13" i="1"/>
  <c r="EV13" i="1"/>
  <c r="EK13" i="1"/>
  <c r="EJ13" i="1"/>
  <c r="CZ13" i="1"/>
  <c r="CW13" i="1"/>
  <c r="CR13" i="1"/>
  <c r="CN13" i="1"/>
  <c r="CM13" i="1"/>
  <c r="CL13" i="1"/>
  <c r="CH13" i="1"/>
  <c r="CG13" i="1"/>
  <c r="CF13" i="1"/>
  <c r="CE13" i="1"/>
  <c r="CB13" i="1"/>
  <c r="CA13" i="1"/>
  <c r="BY13" i="1"/>
  <c r="BV13" i="1"/>
  <c r="BU13" i="1"/>
  <c r="BQ13" i="1"/>
  <c r="BN13" i="1"/>
  <c r="BJ13" i="1"/>
  <c r="BA13" i="1"/>
  <c r="AZ13" i="1"/>
  <c r="AT13" i="1"/>
  <c r="AS13" i="1"/>
  <c r="AM13" i="1"/>
  <c r="AL13" i="1"/>
  <c r="AD13" i="1"/>
  <c r="AA13" i="1"/>
  <c r="M13" i="1"/>
  <c r="VD12" i="1"/>
  <c r="UV12" i="1"/>
  <c r="UQ12" i="1"/>
  <c r="UE12" i="1"/>
  <c r="TW12" i="1"/>
  <c r="TQ12" i="1"/>
  <c r="TP12" i="1"/>
  <c r="TO12" i="1"/>
  <c r="TN12" i="1"/>
  <c r="TM12" i="1"/>
  <c r="TI12" i="1"/>
  <c r="TG12" i="1"/>
  <c r="TE12" i="1"/>
  <c r="TD12" i="1"/>
  <c r="SZ12" i="1"/>
  <c r="SO12" i="1"/>
  <c r="SN12" i="1"/>
  <c r="SM12" i="1"/>
  <c r="SL12" i="1"/>
  <c r="SK12" i="1"/>
  <c r="SI12" i="1"/>
  <c r="SH12" i="1"/>
  <c r="SG12" i="1"/>
  <c r="SF12" i="1"/>
  <c r="RU12" i="1"/>
  <c r="RN12" i="1"/>
  <c r="RF12" i="1"/>
  <c r="RD12" i="1"/>
  <c r="RC12" i="1"/>
  <c r="RA12" i="1"/>
  <c r="QZ12" i="1"/>
  <c r="QY12" i="1"/>
  <c r="QW12" i="1"/>
  <c r="QV12" i="1"/>
  <c r="QU12" i="1"/>
  <c r="QQ12" i="1"/>
  <c r="QL12" i="1"/>
  <c r="QK12" i="1"/>
  <c r="QH12" i="1"/>
  <c r="QB12" i="1"/>
  <c r="PY12" i="1"/>
  <c r="PW12" i="1"/>
  <c r="PM12" i="1"/>
  <c r="PC12" i="1"/>
  <c r="NX12" i="1"/>
  <c r="NO12" i="1"/>
  <c r="NN12" i="1"/>
  <c r="NM12" i="1"/>
  <c r="NK12" i="1"/>
  <c r="NI12" i="1"/>
  <c r="NH12" i="1"/>
  <c r="NF12" i="1"/>
  <c r="MR12" i="1"/>
  <c r="MP12" i="1"/>
  <c r="MO12" i="1"/>
  <c r="MN12" i="1"/>
  <c r="ML12" i="1"/>
  <c r="MD12" i="1"/>
  <c r="MA12" i="1"/>
  <c r="LV12" i="1"/>
  <c r="LT12" i="1"/>
  <c r="LS12" i="1"/>
  <c r="LR12" i="1"/>
  <c r="LQ12" i="1"/>
  <c r="LP12" i="1"/>
  <c r="LL12" i="1"/>
  <c r="LK12" i="1"/>
  <c r="LC12" i="1"/>
  <c r="LA12" i="1"/>
  <c r="KN12" i="1"/>
  <c r="KL12" i="1"/>
  <c r="KK12" i="1"/>
  <c r="KJ12" i="1"/>
  <c r="KI12" i="1"/>
  <c r="KH12" i="1"/>
  <c r="KD12" i="1"/>
  <c r="KB12" i="1"/>
  <c r="KA12" i="1"/>
  <c r="JZ12" i="1"/>
  <c r="JX12" i="1"/>
  <c r="JV12" i="1"/>
  <c r="JU12" i="1"/>
  <c r="JR12" i="1"/>
  <c r="IS12" i="1"/>
  <c r="IQ12" i="1"/>
  <c r="IO12" i="1"/>
  <c r="IJ12" i="1"/>
  <c r="HG12" i="1"/>
  <c r="HE12" i="1"/>
  <c r="HB12" i="1"/>
  <c r="GZ12" i="1"/>
  <c r="GW12" i="1"/>
  <c r="GU12" i="1"/>
  <c r="GT12" i="1"/>
  <c r="GS12" i="1"/>
  <c r="GR12" i="1"/>
  <c r="GQ12" i="1"/>
  <c r="GJ12" i="1"/>
  <c r="GH12" i="1"/>
  <c r="GG12" i="1"/>
  <c r="GF12" i="1"/>
  <c r="GD12" i="1"/>
  <c r="GC12" i="1"/>
  <c r="GB12" i="1"/>
  <c r="GA12" i="1"/>
  <c r="FX12" i="1"/>
  <c r="FW12" i="1"/>
  <c r="FV12" i="1"/>
  <c r="FR12" i="1"/>
  <c r="FQ12" i="1"/>
  <c r="FL12" i="1"/>
  <c r="FH12" i="1"/>
  <c r="FA12" i="1"/>
  <c r="EY12" i="1"/>
  <c r="ER12" i="1"/>
  <c r="EI12" i="1"/>
  <c r="EH12" i="1"/>
  <c r="DW12" i="1"/>
  <c r="DS12" i="1"/>
  <c r="DP12" i="1"/>
  <c r="DM12" i="1"/>
  <c r="DK12" i="1"/>
  <c r="DJ12" i="1"/>
  <c r="DI12" i="1"/>
  <c r="DA12" i="1"/>
  <c r="CV12" i="1"/>
  <c r="CJ12" i="1"/>
  <c r="BR12" i="1"/>
  <c r="BP12" i="1"/>
  <c r="AV12" i="1"/>
  <c r="AH12" i="1"/>
  <c r="L12" i="1"/>
  <c r="J12" i="1"/>
  <c r="UO11" i="1"/>
  <c r="UN11" i="1"/>
  <c r="UK11" i="1"/>
  <c r="UJ11" i="1"/>
  <c r="UI11" i="1"/>
  <c r="UH11" i="1"/>
  <c r="UG11" i="1"/>
  <c r="UD11" i="1"/>
  <c r="TZ11" i="1"/>
  <c r="TY11" i="1"/>
  <c r="TX11" i="1"/>
  <c r="TV11" i="1"/>
  <c r="TT11" i="1"/>
  <c r="TS11" i="1"/>
  <c r="RY11" i="1"/>
  <c r="KF11" i="1"/>
  <c r="KE11" i="1"/>
  <c r="JM11" i="1"/>
  <c r="JL11" i="1"/>
  <c r="JF11" i="1"/>
  <c r="JE11" i="1"/>
  <c r="JD11" i="1"/>
  <c r="JC11" i="1"/>
  <c r="JB11" i="1"/>
  <c r="JA11" i="1"/>
  <c r="FO11" i="1"/>
  <c r="FN11" i="1"/>
  <c r="FM11" i="1"/>
  <c r="FJ11" i="1"/>
  <c r="FH11" i="1"/>
  <c r="FG11" i="1"/>
  <c r="FF11" i="1"/>
  <c r="FB11" i="1"/>
  <c r="FA11" i="1"/>
  <c r="EZ11" i="1"/>
  <c r="EX11" i="1"/>
  <c r="EW11" i="1"/>
  <c r="EV11" i="1"/>
  <c r="EU11" i="1"/>
  <c r="ES11" i="1"/>
  <c r="EQ11" i="1"/>
  <c r="EP11" i="1"/>
  <c r="EO11" i="1"/>
  <c r="EM11" i="1"/>
  <c r="EL11" i="1"/>
  <c r="EK11" i="1"/>
  <c r="EJ11" i="1"/>
  <c r="EF11" i="1"/>
  <c r="EE11" i="1"/>
  <c r="ED11" i="1"/>
  <c r="EC11" i="1"/>
  <c r="EB11" i="1"/>
  <c r="EA11" i="1"/>
  <c r="DY11" i="1"/>
  <c r="DV11" i="1"/>
  <c r="DU11" i="1"/>
  <c r="DS11" i="1"/>
  <c r="DR11" i="1"/>
  <c r="DQ11" i="1"/>
  <c r="DN11" i="1"/>
  <c r="DJ11" i="1"/>
  <c r="DH11" i="1"/>
  <c r="CX11" i="1"/>
  <c r="CW11" i="1"/>
  <c r="CQ11" i="1"/>
  <c r="CP11" i="1"/>
  <c r="CK11" i="1"/>
  <c r="CJ11" i="1"/>
  <c r="CG11" i="1"/>
  <c r="CD11" i="1"/>
  <c r="CB11" i="1"/>
  <c r="BZ11" i="1"/>
  <c r="BS11" i="1"/>
  <c r="BR11" i="1"/>
  <c r="BQ11" i="1"/>
  <c r="BP11" i="1"/>
  <c r="BO11" i="1"/>
  <c r="BN11" i="1"/>
  <c r="BM11" i="1"/>
  <c r="BL11" i="1"/>
  <c r="BK11" i="1"/>
  <c r="BJ11" i="1"/>
  <c r="BH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R11" i="1"/>
  <c r="AQ11" i="1"/>
  <c r="AN11" i="1"/>
  <c r="AM11" i="1"/>
  <c r="AL11" i="1"/>
  <c r="AI11" i="1"/>
  <c r="AH11" i="1"/>
  <c r="AF11" i="1"/>
  <c r="AB11" i="1"/>
  <c r="Z11" i="1"/>
  <c r="Y11" i="1"/>
  <c r="X11" i="1"/>
  <c r="W11" i="1"/>
  <c r="T11" i="1"/>
  <c r="R11" i="1"/>
  <c r="Q11" i="1"/>
  <c r="O11" i="1"/>
  <c r="D11" i="1"/>
  <c r="VH10" i="1"/>
  <c r="UV10" i="1"/>
  <c r="UU10" i="1"/>
  <c r="US10" i="1"/>
  <c r="UQ10" i="1"/>
  <c r="UM10" i="1"/>
  <c r="TO10" i="1"/>
  <c r="TM10" i="1"/>
  <c r="TJ10" i="1"/>
  <c r="TC10" i="1"/>
  <c r="TB10" i="1"/>
  <c r="TA10" i="1"/>
  <c r="SS10" i="1"/>
  <c r="SR10" i="1"/>
  <c r="SQ10" i="1"/>
  <c r="SK10" i="1"/>
  <c r="SI10" i="1"/>
  <c r="SG10" i="1"/>
  <c r="SF10" i="1"/>
  <c r="SE10" i="1"/>
  <c r="SD10" i="1"/>
  <c r="SC10" i="1"/>
  <c r="RN10" i="1"/>
  <c r="RL10" i="1"/>
  <c r="RK10" i="1"/>
  <c r="RJ10" i="1"/>
  <c r="RH10" i="1"/>
  <c r="RG10" i="1"/>
  <c r="RF10" i="1"/>
  <c r="RD10" i="1"/>
  <c r="RC10" i="1"/>
  <c r="RA10" i="1"/>
  <c r="QZ10" i="1"/>
  <c r="QY10" i="1"/>
  <c r="QV10" i="1"/>
  <c r="QT10" i="1"/>
  <c r="QS10" i="1"/>
  <c r="QR10" i="1"/>
  <c r="QO10" i="1"/>
  <c r="QM10" i="1"/>
  <c r="QL10" i="1"/>
  <c r="QJ10" i="1"/>
  <c r="PX10" i="1"/>
  <c r="PW10" i="1"/>
  <c r="PV10" i="1"/>
  <c r="PU10" i="1"/>
  <c r="PN10" i="1"/>
  <c r="PM10" i="1"/>
  <c r="PL10" i="1"/>
  <c r="PK10" i="1"/>
  <c r="PI10" i="1"/>
  <c r="PE10" i="1"/>
  <c r="OW10" i="1"/>
  <c r="OH10" i="1"/>
  <c r="NZ10" i="1"/>
  <c r="NR10" i="1"/>
  <c r="NK10" i="1"/>
  <c r="NI10" i="1"/>
  <c r="NH10" i="1"/>
  <c r="NG10" i="1"/>
  <c r="MV10" i="1"/>
  <c r="MT10" i="1"/>
  <c r="MS10" i="1"/>
  <c r="MP10" i="1"/>
  <c r="ML10" i="1"/>
  <c r="MI10" i="1"/>
  <c r="MH10" i="1"/>
  <c r="MG10" i="1"/>
  <c r="MD10" i="1"/>
  <c r="LY10" i="1"/>
  <c r="LX10" i="1"/>
  <c r="LV10" i="1"/>
  <c r="LU10" i="1"/>
  <c r="LT10" i="1"/>
  <c r="LS10" i="1"/>
  <c r="LR10" i="1"/>
  <c r="LP10" i="1"/>
  <c r="LJ10" i="1"/>
  <c r="LF10" i="1"/>
  <c r="LE10" i="1"/>
  <c r="LC10" i="1"/>
  <c r="LB10" i="1"/>
  <c r="KW10" i="1"/>
  <c r="KO10" i="1"/>
  <c r="KL10" i="1"/>
  <c r="KK10" i="1"/>
  <c r="KJ10" i="1"/>
  <c r="KI10" i="1"/>
  <c r="KH10" i="1"/>
  <c r="KD10" i="1"/>
  <c r="JY10" i="1"/>
  <c r="JX10" i="1"/>
  <c r="JV10" i="1"/>
  <c r="JP10" i="1"/>
  <c r="IS10" i="1"/>
  <c r="IQ10" i="1"/>
  <c r="IM10" i="1"/>
  <c r="IK10" i="1"/>
  <c r="IJ10" i="1"/>
  <c r="II10" i="1"/>
  <c r="IH10" i="1"/>
  <c r="IF10" i="1"/>
  <c r="HJ10" i="1"/>
  <c r="HH10" i="1"/>
  <c r="HE10" i="1"/>
  <c r="GZ10" i="1"/>
  <c r="GW10" i="1"/>
  <c r="GO10" i="1"/>
  <c r="GJ10" i="1"/>
  <c r="GI10" i="1"/>
  <c r="GH10" i="1"/>
  <c r="GF10" i="1"/>
  <c r="GB10" i="1"/>
  <c r="FX10" i="1"/>
  <c r="FW10" i="1"/>
  <c r="FU10" i="1"/>
  <c r="FT10" i="1"/>
  <c r="FS10" i="1"/>
  <c r="FI10" i="1"/>
  <c r="FG10" i="1"/>
  <c r="FE10" i="1"/>
  <c r="FD10" i="1"/>
  <c r="FC10" i="1"/>
  <c r="EU10" i="1"/>
  <c r="ET10" i="1"/>
  <c r="ES10" i="1"/>
  <c r="EQ10" i="1"/>
  <c r="EP10" i="1"/>
  <c r="EO10" i="1"/>
  <c r="CO10" i="1"/>
  <c r="N10" i="1"/>
  <c r="UY9" i="1"/>
  <c r="UU9" i="1"/>
  <c r="UR9" i="1"/>
  <c r="UP9" i="1"/>
  <c r="UF9" i="1"/>
  <c r="TX9" i="1"/>
  <c r="TQ9" i="1"/>
  <c r="TP9" i="1"/>
  <c r="TO9" i="1"/>
  <c r="TN9" i="1"/>
  <c r="TM9" i="1"/>
  <c r="TK9" i="1"/>
  <c r="TI9" i="1"/>
  <c r="TH9" i="1"/>
  <c r="TG9" i="1"/>
  <c r="TF9" i="1"/>
  <c r="TE9" i="1"/>
  <c r="TD9" i="1"/>
  <c r="TC9" i="1"/>
  <c r="TB9" i="1"/>
  <c r="SZ9" i="1"/>
  <c r="SV9" i="1"/>
  <c r="ST9" i="1"/>
  <c r="SO9" i="1"/>
  <c r="SN9" i="1"/>
  <c r="SM9" i="1"/>
  <c r="SK9" i="1"/>
  <c r="SJ9" i="1"/>
  <c r="SH9" i="1"/>
  <c r="RV9" i="1"/>
  <c r="RU9" i="1"/>
  <c r="RT9" i="1"/>
  <c r="RS9" i="1"/>
  <c r="RN9" i="1"/>
  <c r="RI9" i="1"/>
  <c r="RF9" i="1"/>
  <c r="QX9" i="1"/>
  <c r="QS9" i="1"/>
  <c r="QO9" i="1"/>
  <c r="QN9" i="1"/>
  <c r="QM9" i="1"/>
  <c r="QF9" i="1"/>
  <c r="QE9" i="1"/>
  <c r="QA9" i="1"/>
  <c r="PZ9" i="1"/>
  <c r="PW9" i="1"/>
  <c r="PU9" i="1"/>
  <c r="PQ9" i="1"/>
  <c r="PP9" i="1"/>
  <c r="PJ9" i="1"/>
  <c r="PF9" i="1"/>
  <c r="OX9" i="1"/>
  <c r="OV9" i="1"/>
  <c r="OR9" i="1"/>
  <c r="OM9" i="1"/>
  <c r="OL9" i="1"/>
  <c r="OE9" i="1"/>
  <c r="OA9" i="1"/>
  <c r="NX9" i="1"/>
  <c r="NS9" i="1"/>
  <c r="NM9" i="1"/>
  <c r="MV9" i="1"/>
  <c r="MQ9" i="1"/>
  <c r="MM9" i="1"/>
  <c r="MK9" i="1"/>
  <c r="MH9" i="1"/>
  <c r="MF9" i="1"/>
  <c r="MA9" i="1"/>
  <c r="LW9" i="1"/>
  <c r="LU9" i="1"/>
  <c r="LS9" i="1"/>
  <c r="LQ9" i="1"/>
  <c r="LP9" i="1"/>
  <c r="LO9" i="1"/>
  <c r="LN9" i="1"/>
  <c r="LM9" i="1"/>
  <c r="LJ9" i="1"/>
  <c r="LI9" i="1"/>
  <c r="LH9" i="1"/>
  <c r="LG9" i="1"/>
  <c r="LF9" i="1"/>
  <c r="LD9" i="1"/>
  <c r="KQ9" i="1"/>
  <c r="KP9" i="1"/>
  <c r="KN9" i="1"/>
  <c r="KM9" i="1"/>
  <c r="KK9" i="1"/>
  <c r="KJ9" i="1"/>
  <c r="KH9" i="1"/>
  <c r="KG9" i="1"/>
  <c r="JX9" i="1"/>
  <c r="JW9" i="1"/>
  <c r="JT9" i="1"/>
  <c r="JR9" i="1"/>
  <c r="JQ9" i="1"/>
  <c r="JP9" i="1"/>
  <c r="JO9" i="1"/>
  <c r="JL9" i="1"/>
  <c r="JJ9" i="1"/>
  <c r="JI9" i="1"/>
  <c r="JH9" i="1"/>
  <c r="JA9" i="1"/>
  <c r="IX9" i="1"/>
  <c r="IW9" i="1"/>
  <c r="IU9" i="1"/>
  <c r="IT9" i="1"/>
  <c r="IR9" i="1"/>
  <c r="IQ9" i="1"/>
  <c r="IO9" i="1"/>
  <c r="IN9" i="1"/>
  <c r="IM9" i="1"/>
  <c r="IL9" i="1"/>
  <c r="IH9" i="1"/>
  <c r="IG9" i="1"/>
  <c r="IC9" i="1"/>
  <c r="HT9" i="1"/>
  <c r="HR9" i="1"/>
  <c r="HO9" i="1"/>
  <c r="HM9" i="1"/>
  <c r="HK9" i="1"/>
  <c r="HJ9" i="1"/>
  <c r="HI9" i="1"/>
  <c r="HF9" i="1"/>
  <c r="GV9" i="1"/>
  <c r="GH9" i="1"/>
  <c r="GD9" i="1"/>
  <c r="GC9" i="1"/>
  <c r="FZ9" i="1"/>
  <c r="FV9" i="1"/>
  <c r="FU9" i="1"/>
  <c r="FC9" i="1"/>
  <c r="EZ9" i="1"/>
  <c r="EI9" i="1"/>
  <c r="EG9" i="1"/>
  <c r="DW9" i="1"/>
  <c r="DV9" i="1"/>
  <c r="DU9" i="1"/>
  <c r="DT9" i="1"/>
  <c r="DP9" i="1"/>
  <c r="DO9" i="1"/>
  <c r="DN9" i="1"/>
  <c r="DJ9" i="1"/>
  <c r="DI9" i="1"/>
  <c r="DG9" i="1"/>
  <c r="DF9" i="1"/>
  <c r="DD9" i="1"/>
  <c r="CR9" i="1"/>
  <c r="CE9" i="1"/>
  <c r="BU9" i="1"/>
  <c r="BG9" i="1"/>
  <c r="BC9" i="1"/>
  <c r="AU9" i="1"/>
  <c r="AG9" i="1"/>
  <c r="AE9" i="1"/>
  <c r="AA9" i="1"/>
  <c r="VH8" i="1"/>
  <c r="VG8" i="1"/>
  <c r="VD8" i="1"/>
  <c r="VA8" i="1"/>
  <c r="UY8" i="1"/>
  <c r="UX8" i="1"/>
  <c r="UV8" i="1"/>
  <c r="UU8" i="1"/>
  <c r="US8" i="1"/>
  <c r="UQ8" i="1"/>
  <c r="UO8" i="1"/>
  <c r="UL8" i="1"/>
  <c r="UJ8" i="1"/>
  <c r="UH8" i="1"/>
  <c r="UF8" i="1"/>
  <c r="UE8" i="1"/>
  <c r="UC8" i="1"/>
  <c r="TW8" i="1"/>
  <c r="TV8" i="1"/>
  <c r="TU8" i="1"/>
  <c r="TQ8" i="1"/>
  <c r="TO8" i="1"/>
  <c r="TM8" i="1"/>
  <c r="TK8" i="1"/>
  <c r="TJ8" i="1"/>
  <c r="TI8" i="1"/>
  <c r="TH8" i="1"/>
  <c r="TG8" i="1"/>
  <c r="TE8" i="1"/>
  <c r="TC8" i="1"/>
  <c r="TB8" i="1"/>
  <c r="TA8" i="1"/>
  <c r="SZ8" i="1"/>
  <c r="SY8" i="1"/>
  <c r="SX8" i="1"/>
  <c r="SV8" i="1"/>
  <c r="SU8" i="1"/>
  <c r="SS8" i="1"/>
  <c r="SR8" i="1"/>
  <c r="SQ8" i="1"/>
  <c r="SO8" i="1"/>
  <c r="SN8" i="1"/>
  <c r="SM8" i="1"/>
  <c r="SK8" i="1"/>
  <c r="SJ8" i="1"/>
  <c r="SI8" i="1"/>
  <c r="SG8" i="1"/>
  <c r="SF8" i="1"/>
  <c r="SE8" i="1"/>
  <c r="RU8" i="1"/>
  <c r="RR8" i="1"/>
  <c r="RQ8" i="1"/>
  <c r="RP8" i="1"/>
  <c r="RO8" i="1"/>
  <c r="RN8" i="1"/>
  <c r="RM8" i="1"/>
  <c r="RL8" i="1"/>
  <c r="RK8" i="1"/>
  <c r="RJ8" i="1"/>
  <c r="RH8" i="1"/>
  <c r="RG8" i="1"/>
  <c r="RF8" i="1"/>
  <c r="RD8" i="1"/>
  <c r="RC8" i="1"/>
  <c r="RA8" i="1"/>
  <c r="QY8" i="1"/>
  <c r="QX8" i="1"/>
  <c r="QV8" i="1"/>
  <c r="QU8" i="1"/>
  <c r="QT8" i="1"/>
  <c r="QS8" i="1"/>
  <c r="QR8" i="1"/>
  <c r="QM8" i="1"/>
  <c r="QL8" i="1"/>
  <c r="QK8" i="1"/>
  <c r="QJ8" i="1"/>
  <c r="QG8" i="1"/>
  <c r="QD8" i="1"/>
  <c r="QB8" i="1"/>
  <c r="PX8" i="1"/>
  <c r="PW8" i="1"/>
  <c r="PV8" i="1"/>
  <c r="PU8" i="1"/>
  <c r="PT8" i="1"/>
  <c r="PS8" i="1"/>
  <c r="PR8" i="1"/>
  <c r="PP8" i="1"/>
  <c r="PN8" i="1"/>
  <c r="PM8" i="1"/>
  <c r="PL8" i="1"/>
  <c r="PK8" i="1"/>
  <c r="PJ8" i="1"/>
  <c r="PI8" i="1"/>
  <c r="PH8" i="1"/>
  <c r="PF8" i="1"/>
  <c r="PB8" i="1"/>
  <c r="PA8" i="1"/>
  <c r="OZ8" i="1"/>
  <c r="OY8" i="1"/>
  <c r="OV8" i="1"/>
  <c r="OR8" i="1"/>
  <c r="OL8" i="1"/>
  <c r="OK8" i="1"/>
  <c r="OF8" i="1"/>
  <c r="OE8" i="1"/>
  <c r="OD8" i="1"/>
  <c r="NZ8" i="1"/>
  <c r="NX8" i="1"/>
  <c r="NW8" i="1"/>
  <c r="NU8" i="1"/>
  <c r="NP8" i="1"/>
  <c r="NO8" i="1"/>
  <c r="NN8" i="1"/>
  <c r="NM8" i="1"/>
  <c r="NK8" i="1"/>
  <c r="NI8" i="1"/>
  <c r="NH8" i="1"/>
  <c r="NG8" i="1"/>
  <c r="NF8" i="1"/>
  <c r="NE8" i="1"/>
  <c r="ND8" i="1"/>
  <c r="NC8" i="1"/>
  <c r="NA8" i="1"/>
  <c r="MZ8" i="1"/>
  <c r="MY8" i="1"/>
  <c r="MX8" i="1"/>
  <c r="MV8" i="1"/>
  <c r="MU8" i="1"/>
  <c r="MT8" i="1"/>
  <c r="MS8" i="1"/>
  <c r="MR8" i="1"/>
  <c r="MQ8" i="1"/>
  <c r="MP8" i="1"/>
  <c r="MO8" i="1"/>
  <c r="MN8" i="1"/>
  <c r="MM8" i="1"/>
  <c r="ML8" i="1"/>
  <c r="MJ8" i="1"/>
  <c r="MI8" i="1"/>
  <c r="MH8" i="1"/>
  <c r="MG8" i="1"/>
  <c r="MF8" i="1"/>
  <c r="ME8" i="1"/>
  <c r="MD8" i="1"/>
  <c r="MB8" i="1"/>
  <c r="LY8" i="1"/>
  <c r="LX8" i="1"/>
  <c r="LV8" i="1"/>
  <c r="LU8" i="1"/>
  <c r="LT8" i="1"/>
  <c r="LS8" i="1"/>
  <c r="LR8" i="1"/>
  <c r="LQ8" i="1"/>
  <c r="LP8" i="1"/>
  <c r="LL8" i="1"/>
  <c r="LK8" i="1"/>
  <c r="LJ8" i="1"/>
  <c r="LH8" i="1"/>
  <c r="LG8" i="1"/>
  <c r="LF8" i="1"/>
  <c r="LE8" i="1"/>
  <c r="LC8" i="1"/>
  <c r="KW8" i="1"/>
  <c r="KU8" i="1"/>
  <c r="KO8" i="1"/>
  <c r="KM8" i="1"/>
  <c r="KL8" i="1"/>
  <c r="KK8" i="1"/>
  <c r="KJ8" i="1"/>
  <c r="KI8" i="1"/>
  <c r="KH8" i="1"/>
  <c r="KD8" i="1"/>
  <c r="JY8" i="1"/>
  <c r="JX8" i="1"/>
  <c r="JV8" i="1"/>
  <c r="JU8" i="1"/>
  <c r="JS8" i="1"/>
  <c r="JP8" i="1"/>
  <c r="JN8" i="1"/>
  <c r="JE8" i="1"/>
  <c r="IW8" i="1"/>
  <c r="IS8" i="1"/>
  <c r="IQ8" i="1"/>
  <c r="IM8" i="1"/>
  <c r="IL8" i="1"/>
  <c r="IK8" i="1"/>
  <c r="IK3" i="1" s="1"/>
  <c r="IJ8" i="1"/>
  <c r="IH8" i="1"/>
  <c r="IG8" i="1"/>
  <c r="IF8" i="1"/>
  <c r="IF3" i="1" s="1"/>
  <c r="IE8" i="1"/>
  <c r="IC8" i="1"/>
  <c r="IB8" i="1"/>
  <c r="IA8" i="1"/>
  <c r="HY8" i="1"/>
  <c r="HW8" i="1"/>
  <c r="HV8" i="1"/>
  <c r="HS8" i="1"/>
  <c r="HO8" i="1"/>
  <c r="HM8" i="1"/>
  <c r="HJ8" i="1"/>
  <c r="HI8" i="1"/>
  <c r="HH8" i="1"/>
  <c r="HG8" i="1"/>
  <c r="HE8" i="1"/>
  <c r="HA8" i="1"/>
  <c r="GZ8" i="1"/>
  <c r="GY8" i="1"/>
  <c r="GX8" i="1"/>
  <c r="GW8" i="1"/>
  <c r="GT8" i="1"/>
  <c r="GS8" i="1"/>
  <c r="GR8" i="1"/>
  <c r="GP8" i="1"/>
  <c r="GP3" i="1" s="1"/>
  <c r="GO8" i="1"/>
  <c r="GN8" i="1"/>
  <c r="GM8" i="1"/>
  <c r="GK8" i="1"/>
  <c r="GJ8" i="1"/>
  <c r="GI8" i="1"/>
  <c r="GH8" i="1"/>
  <c r="GF8" i="1"/>
  <c r="GE8" i="1"/>
  <c r="GB8" i="1"/>
  <c r="FZ8" i="1"/>
  <c r="FX8" i="1"/>
  <c r="FW8" i="1"/>
  <c r="FV8" i="1"/>
  <c r="FU8" i="1"/>
  <c r="FT8" i="1"/>
  <c r="FS8" i="1"/>
  <c r="FR8" i="1"/>
  <c r="FQ8" i="1"/>
  <c r="FM8" i="1"/>
  <c r="FL8" i="1"/>
  <c r="FH8" i="1"/>
  <c r="FG8" i="1"/>
  <c r="FE8" i="1"/>
  <c r="FD8" i="1"/>
  <c r="FC8" i="1"/>
  <c r="FA8" i="1"/>
  <c r="EU8" i="1"/>
  <c r="ET8" i="1"/>
  <c r="ES8" i="1"/>
  <c r="ER8" i="1"/>
  <c r="EQ8" i="1"/>
  <c r="EP8" i="1"/>
  <c r="EO8" i="1"/>
  <c r="EM8" i="1"/>
  <c r="EI8" i="1"/>
  <c r="EH8" i="1"/>
  <c r="DZ8" i="1"/>
  <c r="DX8" i="1"/>
  <c r="DP8" i="1"/>
  <c r="DO8" i="1"/>
  <c r="DM8" i="1"/>
  <c r="DL8" i="1"/>
  <c r="DI8" i="1"/>
  <c r="CZ8" i="1"/>
  <c r="CX8" i="1"/>
  <c r="CQ8" i="1"/>
  <c r="CP8" i="1"/>
  <c r="CO8" i="1"/>
  <c r="CI8" i="1"/>
  <c r="CC8" i="1"/>
  <c r="BZ8" i="1"/>
  <c r="BR8" i="1"/>
  <c r="BP8" i="1"/>
  <c r="BL8" i="1"/>
  <c r="BH8" i="1"/>
  <c r="BE8" i="1"/>
  <c r="BD8" i="1"/>
  <c r="AY8" i="1"/>
  <c r="AN8" i="1"/>
  <c r="AF8" i="1"/>
  <c r="Y8" i="1"/>
  <c r="R8" i="1"/>
  <c r="N8" i="1"/>
  <c r="K8" i="1"/>
  <c r="VH7" i="1"/>
  <c r="VG7" i="1"/>
  <c r="VF7" i="1"/>
  <c r="VE7" i="1"/>
  <c r="VD7" i="1"/>
  <c r="VC7" i="1"/>
  <c r="VB7" i="1"/>
  <c r="VA7" i="1"/>
  <c r="UY7" i="1"/>
  <c r="UX7" i="1"/>
  <c r="UW7" i="1"/>
  <c r="UV7" i="1"/>
  <c r="UU7" i="1"/>
  <c r="US7" i="1"/>
  <c r="UR7" i="1"/>
  <c r="UQ7" i="1"/>
  <c r="UP7" i="1"/>
  <c r="UO7" i="1"/>
  <c r="UL7" i="1"/>
  <c r="UK7" i="1"/>
  <c r="UH7" i="1"/>
  <c r="UD7" i="1"/>
  <c r="UC7" i="1"/>
  <c r="UB7" i="1"/>
  <c r="UA7" i="1"/>
  <c r="TX7" i="1"/>
  <c r="TW7" i="1"/>
  <c r="TQ7" i="1"/>
  <c r="TP7" i="1"/>
  <c r="TO7" i="1"/>
  <c r="TN7" i="1"/>
  <c r="TM7" i="1"/>
  <c r="TL7" i="1"/>
  <c r="TK7" i="1"/>
  <c r="TJ7" i="1"/>
  <c r="TH7" i="1"/>
  <c r="TG7" i="1"/>
  <c r="TE7" i="1"/>
  <c r="SZ7" i="1"/>
  <c r="SY7" i="1"/>
  <c r="SX7" i="1"/>
  <c r="SV7" i="1"/>
  <c r="SU7" i="1"/>
  <c r="ST7" i="1"/>
  <c r="SS7" i="1"/>
  <c r="SR7" i="1"/>
  <c r="SQ7" i="1"/>
  <c r="SO7" i="1"/>
  <c r="SN7" i="1"/>
  <c r="SM7" i="1"/>
  <c r="SL7" i="1"/>
  <c r="SI7" i="1"/>
  <c r="SH7" i="1"/>
  <c r="SF7" i="1"/>
  <c r="RX7" i="1"/>
  <c r="RW7" i="1"/>
  <c r="RU7" i="1"/>
  <c r="RT7" i="1"/>
  <c r="RS7" i="1"/>
  <c r="RP7" i="1"/>
  <c r="RN7" i="1"/>
  <c r="RI7" i="1"/>
  <c r="RF7" i="1"/>
  <c r="RA7" i="1"/>
  <c r="QZ7" i="1"/>
  <c r="QY7" i="1"/>
  <c r="QX7" i="1"/>
  <c r="QV7" i="1"/>
  <c r="QS7" i="1"/>
  <c r="QO7" i="1"/>
  <c r="QL7" i="1"/>
  <c r="QK7" i="1"/>
  <c r="QJ7" i="1"/>
  <c r="QI7" i="1"/>
  <c r="QH7" i="1"/>
  <c r="QG7" i="1"/>
  <c r="QE7" i="1"/>
  <c r="QD7" i="1"/>
  <c r="QC7" i="1"/>
  <c r="QB7" i="1"/>
  <c r="QA7" i="1"/>
  <c r="PY7" i="1"/>
  <c r="PW7" i="1"/>
  <c r="PU7" i="1"/>
  <c r="PT7" i="1"/>
  <c r="PP7" i="1"/>
  <c r="PO7" i="1"/>
  <c r="PN7" i="1"/>
  <c r="PM7" i="1"/>
  <c r="PL7" i="1"/>
  <c r="PK7" i="1"/>
  <c r="PJ7" i="1"/>
  <c r="PI7" i="1"/>
  <c r="PH7" i="1"/>
  <c r="PF7" i="1"/>
  <c r="PD7" i="1"/>
  <c r="PC7" i="1"/>
  <c r="PB7" i="1"/>
  <c r="OY7" i="1"/>
  <c r="OX7" i="1"/>
  <c r="OW7" i="1"/>
  <c r="OU7" i="1"/>
  <c r="OS7" i="1"/>
  <c r="OQ7" i="1"/>
  <c r="OM7" i="1"/>
  <c r="OL7" i="1"/>
  <c r="OH7" i="1"/>
  <c r="OE7" i="1"/>
  <c r="OD7" i="1"/>
  <c r="OC7" i="1"/>
  <c r="OB7" i="1"/>
  <c r="OA7" i="1"/>
  <c r="NY7" i="1"/>
  <c r="NX7" i="1"/>
  <c r="NW7" i="1"/>
  <c r="NV7" i="1"/>
  <c r="NU7" i="1"/>
  <c r="NT7" i="1"/>
  <c r="NS7" i="1"/>
  <c r="NR7" i="1"/>
  <c r="NQ7" i="1"/>
  <c r="NP7" i="1"/>
  <c r="NN7" i="1"/>
  <c r="NK7" i="1"/>
  <c r="NG7" i="1"/>
  <c r="NF7" i="1"/>
  <c r="MZ7" i="1"/>
  <c r="MY7" i="1"/>
  <c r="MU7" i="1"/>
  <c r="MT7" i="1"/>
  <c r="MR7" i="1"/>
  <c r="MQ7" i="1"/>
  <c r="MP7" i="1"/>
  <c r="MO7" i="1"/>
  <c r="MM7" i="1"/>
  <c r="ML7" i="1"/>
  <c r="MK7" i="1"/>
  <c r="MJ7" i="1"/>
  <c r="MG7" i="1"/>
  <c r="MF7" i="1"/>
  <c r="ME7" i="1"/>
  <c r="MD7" i="1"/>
  <c r="MC7" i="1"/>
  <c r="MB7" i="1"/>
  <c r="MA7" i="1"/>
  <c r="LX7" i="1"/>
  <c r="LW7" i="1"/>
  <c r="LU7" i="1"/>
  <c r="LR7" i="1"/>
  <c r="LQ7" i="1"/>
  <c r="LN7" i="1"/>
  <c r="LM7" i="1"/>
  <c r="LI7" i="1"/>
  <c r="LD7" i="1"/>
  <c r="KW7" i="1"/>
  <c r="KT7" i="1"/>
  <c r="KR7" i="1"/>
  <c r="KQ7" i="1"/>
  <c r="KO7" i="1"/>
  <c r="KN7" i="1"/>
  <c r="KL7" i="1"/>
  <c r="KK7" i="1"/>
  <c r="KJ7" i="1"/>
  <c r="KG7" i="1"/>
  <c r="KC7" i="1"/>
  <c r="KB7" i="1"/>
  <c r="KA7" i="1"/>
  <c r="JY7" i="1"/>
  <c r="JX7" i="1"/>
  <c r="JW7" i="1"/>
  <c r="JT7" i="1"/>
  <c r="JR7" i="1"/>
  <c r="JQ7" i="1"/>
  <c r="JO7" i="1"/>
  <c r="JL7" i="1"/>
  <c r="JJ7" i="1"/>
  <c r="JI7" i="1"/>
  <c r="JH7" i="1"/>
  <c r="JF7" i="1"/>
  <c r="IW7" i="1"/>
  <c r="IU7" i="1"/>
  <c r="IT7" i="1"/>
  <c r="IS7" i="1"/>
  <c r="IR7" i="1"/>
  <c r="IQ7" i="1"/>
  <c r="IP7" i="1"/>
  <c r="IO7" i="1"/>
  <c r="IN7" i="1"/>
  <c r="IL7" i="1"/>
  <c r="IJ7" i="1"/>
  <c r="IG7" i="1"/>
  <c r="IA7" i="1"/>
  <c r="HY7" i="1"/>
  <c r="HX7" i="1"/>
  <c r="HW7" i="1"/>
  <c r="HV7" i="1"/>
  <c r="HT7" i="1"/>
  <c r="HS7" i="1"/>
  <c r="HQ7" i="1"/>
  <c r="HP7" i="1"/>
  <c r="HN7" i="1"/>
  <c r="HL7" i="1"/>
  <c r="HK7" i="1"/>
  <c r="HJ7" i="1"/>
  <c r="HI7" i="1"/>
  <c r="HH7" i="1"/>
  <c r="HG7" i="1"/>
  <c r="HE7" i="1"/>
  <c r="HD7" i="1"/>
  <c r="HC7" i="1"/>
  <c r="HB7" i="1"/>
  <c r="HA7" i="1"/>
  <c r="GZ7" i="1"/>
  <c r="GY7" i="1"/>
  <c r="GX7" i="1"/>
  <c r="GW7" i="1"/>
  <c r="GU7" i="1"/>
  <c r="GT7" i="1"/>
  <c r="GQ7" i="1"/>
  <c r="GJ7" i="1"/>
  <c r="GH7" i="1"/>
  <c r="GG7" i="1"/>
  <c r="GF7" i="1"/>
  <c r="GD7" i="1"/>
  <c r="GC7" i="1"/>
  <c r="GB7" i="1"/>
  <c r="GA7" i="1"/>
  <c r="FZ7" i="1"/>
  <c r="FY7" i="1"/>
  <c r="FX7" i="1"/>
  <c r="FW7" i="1"/>
  <c r="FV7" i="1"/>
  <c r="FT7" i="1"/>
  <c r="FS7" i="1"/>
  <c r="FR7" i="1"/>
  <c r="FQ7" i="1"/>
  <c r="FP7" i="1"/>
  <c r="FO7" i="1"/>
  <c r="FM7" i="1"/>
  <c r="FL7" i="1"/>
  <c r="FK7" i="1"/>
  <c r="FH7" i="1"/>
  <c r="FC7" i="1"/>
  <c r="FB7" i="1"/>
  <c r="FA7" i="1"/>
  <c r="EZ7" i="1"/>
  <c r="EY7" i="1"/>
  <c r="ER7" i="1"/>
  <c r="EK7" i="1"/>
  <c r="EJ7" i="1"/>
  <c r="EG7" i="1"/>
  <c r="EE7" i="1"/>
  <c r="EA7" i="1"/>
  <c r="DZ7" i="1"/>
  <c r="DX7" i="1"/>
  <c r="DW7" i="1"/>
  <c r="DV7" i="1"/>
  <c r="DU7" i="1"/>
  <c r="DT7" i="1"/>
  <c r="DS7" i="1"/>
  <c r="DR7" i="1"/>
  <c r="DO7" i="1"/>
  <c r="DN7" i="1"/>
  <c r="DM7" i="1"/>
  <c r="DK7" i="1"/>
  <c r="DH7" i="1"/>
  <c r="DG7" i="1"/>
  <c r="DF7" i="1"/>
  <c r="CU7" i="1"/>
  <c r="CT7" i="1"/>
  <c r="CB7" i="1"/>
  <c r="BZ7" i="1"/>
  <c r="BW7" i="1"/>
  <c r="BT7" i="1"/>
  <c r="BP7" i="1"/>
  <c r="BC7" i="1"/>
  <c r="BB7" i="1"/>
  <c r="AX7" i="1"/>
  <c r="AU7" i="1"/>
  <c r="AR7" i="1"/>
  <c r="AN7" i="1"/>
  <c r="S7" i="1"/>
  <c r="VF6" i="1"/>
  <c r="VD6" i="1"/>
  <c r="UO6" i="1"/>
  <c r="UN6" i="1"/>
  <c r="UM6" i="1"/>
  <c r="UL6" i="1"/>
  <c r="UK6" i="1"/>
  <c r="UJ6" i="1"/>
  <c r="UI6" i="1"/>
  <c r="UH6" i="1"/>
  <c r="UG6" i="1"/>
  <c r="UF6" i="1"/>
  <c r="UE6" i="1"/>
  <c r="UD6" i="1"/>
  <c r="UC6" i="1"/>
  <c r="UB6" i="1"/>
  <c r="UA6" i="1"/>
  <c r="TZ6" i="1"/>
  <c r="TY6" i="1"/>
  <c r="TX6" i="1"/>
  <c r="TW6" i="1"/>
  <c r="TV6" i="1"/>
  <c r="TU6" i="1"/>
  <c r="TT6" i="1"/>
  <c r="TS6" i="1"/>
  <c r="TR6" i="1"/>
  <c r="SV6" i="1"/>
  <c r="ST6" i="1"/>
  <c r="SP6" i="1"/>
  <c r="SM6" i="1"/>
  <c r="SK6" i="1"/>
  <c r="RY6" i="1"/>
  <c r="RX6" i="1"/>
  <c r="RW6" i="1"/>
  <c r="RV6" i="1"/>
  <c r="RJ6" i="1"/>
  <c r="RH6" i="1"/>
  <c r="RG6" i="1"/>
  <c r="RF6" i="1"/>
  <c r="RD6" i="1"/>
  <c r="QO6" i="1"/>
  <c r="QE6" i="1"/>
  <c r="PZ6" i="1"/>
  <c r="PQ6" i="1"/>
  <c r="PO6" i="1"/>
  <c r="OR6" i="1"/>
  <c r="OJ6" i="1"/>
  <c r="OH6" i="1"/>
  <c r="NO6" i="1"/>
  <c r="NN6" i="1"/>
  <c r="NM6" i="1"/>
  <c r="NE6" i="1"/>
  <c r="LN6" i="1"/>
  <c r="LL6" i="1"/>
  <c r="LE6" i="1"/>
  <c r="LB6" i="1"/>
  <c r="LA6" i="1"/>
  <c r="KZ6" i="1"/>
  <c r="KX6" i="1"/>
  <c r="KV6" i="1"/>
  <c r="KS6" i="1"/>
  <c r="KR6" i="1"/>
  <c r="KF6" i="1"/>
  <c r="KE6" i="1"/>
  <c r="KD6" i="1"/>
  <c r="KC6" i="1"/>
  <c r="JY6" i="1"/>
  <c r="JX6" i="1"/>
  <c r="JV6" i="1"/>
  <c r="JU6" i="1"/>
  <c r="JN6" i="1"/>
  <c r="JM6" i="1"/>
  <c r="JL6" i="1"/>
  <c r="JJ6" i="1"/>
  <c r="JH6" i="1"/>
  <c r="JF6" i="1"/>
  <c r="JE6" i="1"/>
  <c r="JD6" i="1"/>
  <c r="JC6" i="1"/>
  <c r="JB6" i="1"/>
  <c r="JA6" i="1"/>
  <c r="IZ6" i="1"/>
  <c r="II6" i="1"/>
  <c r="GN6" i="1"/>
  <c r="GK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F6" i="1"/>
  <c r="CE6" i="1"/>
  <c r="CD6" i="1"/>
  <c r="CC6" i="1"/>
  <c r="CB6" i="1"/>
  <c r="CA6" i="1"/>
  <c r="BZ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B6" i="1"/>
  <c r="AZ6" i="1"/>
  <c r="AY6" i="1"/>
  <c r="AX6" i="1"/>
  <c r="AW6" i="1"/>
  <c r="AV6" i="1"/>
  <c r="AU6" i="1"/>
  <c r="AT6" i="1"/>
  <c r="AS6" i="1"/>
  <c r="AR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VI5" i="1"/>
  <c r="VH5" i="1"/>
  <c r="VG5" i="1"/>
  <c r="VF5" i="1"/>
  <c r="VE5" i="1"/>
  <c r="VD5" i="1"/>
  <c r="VC5" i="1"/>
  <c r="VB5" i="1"/>
  <c r="VA5" i="1"/>
  <c r="UZ5" i="1"/>
  <c r="UY5" i="1"/>
  <c r="UX5" i="1"/>
  <c r="UW5" i="1"/>
  <c r="UV5" i="1"/>
  <c r="UU5" i="1"/>
  <c r="US5" i="1"/>
  <c r="UR5" i="1"/>
  <c r="UQ5" i="1"/>
  <c r="UP5" i="1"/>
  <c r="UO5" i="1"/>
  <c r="UN5" i="1"/>
  <c r="UM5" i="1"/>
  <c r="UL5" i="1"/>
  <c r="UK5" i="1"/>
  <c r="UJ5" i="1"/>
  <c r="UH5" i="1"/>
  <c r="UG5" i="1"/>
  <c r="UF5" i="1"/>
  <c r="UE5" i="1"/>
  <c r="UD5" i="1"/>
  <c r="UC5" i="1"/>
  <c r="UB5" i="1"/>
  <c r="UA5" i="1"/>
  <c r="TZ5" i="1"/>
  <c r="TX5" i="1"/>
  <c r="TW5" i="1"/>
  <c r="TV5" i="1"/>
  <c r="TU5" i="1"/>
  <c r="TT5" i="1"/>
  <c r="TS5" i="1"/>
  <c r="TR5" i="1"/>
  <c r="TQ5" i="1"/>
  <c r="TP5" i="1"/>
  <c r="TO5" i="1"/>
  <c r="TN5" i="1"/>
  <c r="TM5" i="1"/>
  <c r="TL5" i="1"/>
  <c r="TK5" i="1"/>
  <c r="TJ5" i="1"/>
  <c r="TI5" i="1"/>
  <c r="TH5" i="1"/>
  <c r="TG5" i="1"/>
  <c r="TF5" i="1"/>
  <c r="TE5" i="1"/>
  <c r="TD5" i="1"/>
  <c r="TA5" i="1"/>
  <c r="SZ5" i="1"/>
  <c r="SY5" i="1"/>
  <c r="SX5" i="1"/>
  <c r="SW5" i="1"/>
  <c r="SV5" i="1"/>
  <c r="SU5" i="1"/>
  <c r="ST5" i="1"/>
  <c r="SS5" i="1"/>
  <c r="SR5" i="1"/>
  <c r="SQ5" i="1"/>
  <c r="SP5" i="1"/>
  <c r="SO5" i="1"/>
  <c r="SN5" i="1"/>
  <c r="SK5" i="1"/>
  <c r="SJ5" i="1"/>
  <c r="SH5" i="1"/>
  <c r="SG5" i="1"/>
  <c r="SF5" i="1"/>
  <c r="SE5" i="1"/>
  <c r="SD5" i="1"/>
  <c r="SC5" i="1"/>
  <c r="SB5" i="1"/>
  <c r="SA5" i="1"/>
  <c r="RY5" i="1"/>
  <c r="RX5" i="1"/>
  <c r="RW5" i="1"/>
  <c r="RV5" i="1"/>
  <c r="RU5" i="1"/>
  <c r="RT5" i="1"/>
  <c r="RS5" i="1"/>
  <c r="RR5" i="1"/>
  <c r="RQ5" i="1"/>
  <c r="RP5" i="1"/>
  <c r="RO5" i="1"/>
  <c r="RN5" i="1"/>
  <c r="RM5" i="1"/>
  <c r="RL5" i="1"/>
  <c r="RI5" i="1"/>
  <c r="RH5" i="1"/>
  <c r="RG5" i="1"/>
  <c r="RE5" i="1"/>
  <c r="RB5" i="1"/>
  <c r="RA5" i="1"/>
  <c r="QX5" i="1"/>
  <c r="QW5" i="1"/>
  <c r="QV5" i="1"/>
  <c r="QU5" i="1"/>
  <c r="QT5" i="1"/>
  <c r="QR5" i="1"/>
  <c r="QQ5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B5" i="1"/>
  <c r="QA5" i="1"/>
  <c r="PZ5" i="1"/>
  <c r="PV5" i="1"/>
  <c r="PS5" i="1"/>
  <c r="PR5" i="1"/>
  <c r="PQ5" i="1"/>
  <c r="PP5" i="1"/>
  <c r="PO5" i="1"/>
  <c r="PL5" i="1"/>
  <c r="PK5" i="1"/>
  <c r="PJ5" i="1"/>
  <c r="PI5" i="1"/>
  <c r="PH5" i="1"/>
  <c r="PG5" i="1"/>
  <c r="PF5" i="1"/>
  <c r="PE5" i="1"/>
  <c r="PD5" i="1"/>
  <c r="PC5" i="1"/>
  <c r="PB5" i="1"/>
  <c r="PA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W5" i="1"/>
  <c r="NV5" i="1"/>
  <c r="NU5" i="1"/>
  <c r="NT5" i="1"/>
  <c r="NS5" i="1"/>
  <c r="NR5" i="1"/>
  <c r="NQ5" i="1"/>
  <c r="NP5" i="1"/>
  <c r="NO5" i="1"/>
  <c r="NN5" i="1"/>
  <c r="NM5" i="1"/>
  <c r="NL5" i="1"/>
  <c r="NJ5" i="1"/>
  <c r="NI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R5" i="1"/>
  <c r="MQ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X5" i="1"/>
  <c r="LW5" i="1"/>
  <c r="LU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D5" i="1"/>
  <c r="LC5" i="1"/>
  <c r="LB5" i="1"/>
  <c r="KZ5" i="1"/>
  <c r="KY5" i="1"/>
  <c r="KX5" i="1"/>
  <c r="KV5" i="1"/>
  <c r="KU5" i="1"/>
  <c r="KT5" i="1"/>
  <c r="KS5" i="1"/>
  <c r="KR5" i="1"/>
  <c r="KQ5" i="1"/>
  <c r="KP5" i="1"/>
  <c r="KO5" i="1"/>
  <c r="KN5" i="1"/>
  <c r="KM5" i="1"/>
  <c r="KL5" i="1"/>
  <c r="KK5" i="1"/>
  <c r="KH5" i="1"/>
  <c r="KG5" i="1"/>
  <c r="KF5" i="1"/>
  <c r="KE5" i="1"/>
  <c r="KD5" i="1"/>
  <c r="KC5" i="1"/>
  <c r="KB5" i="1"/>
  <c r="KA5" i="1"/>
  <c r="JZ5" i="1"/>
  <c r="JY5" i="1"/>
  <c r="JX5" i="1"/>
  <c r="JW5" i="1"/>
  <c r="JU5" i="1"/>
  <c r="JT5" i="1"/>
  <c r="JS5" i="1"/>
  <c r="JR5" i="1"/>
  <c r="JQ5" i="1"/>
  <c r="JP5" i="1"/>
  <c r="JO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R5" i="1"/>
  <c r="IQ5" i="1"/>
  <c r="IP5" i="1"/>
  <c r="IO5" i="1"/>
  <c r="IN5" i="1"/>
  <c r="IM5" i="1"/>
  <c r="IL5" i="1"/>
  <c r="IJ5" i="1"/>
  <c r="II5" i="1"/>
  <c r="IH5" i="1"/>
  <c r="IG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D5" i="1"/>
  <c r="HC5" i="1"/>
  <c r="HB5" i="1"/>
  <c r="HA5" i="1"/>
  <c r="GY5" i="1"/>
  <c r="GX5" i="1"/>
  <c r="GV5" i="1"/>
  <c r="GU5" i="1"/>
  <c r="GT5" i="1"/>
  <c r="GS5" i="1"/>
  <c r="GR5" i="1"/>
  <c r="GQ5" i="1"/>
  <c r="GO5" i="1"/>
  <c r="GN5" i="1"/>
  <c r="GM5" i="1"/>
  <c r="GL5" i="1"/>
  <c r="GK5" i="1"/>
  <c r="GJ5" i="1"/>
  <c r="GH5" i="1"/>
  <c r="GG5" i="1"/>
  <c r="GE5" i="1"/>
  <c r="GD5" i="1"/>
  <c r="GC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C5" i="1"/>
  <c r="FB5" i="1"/>
  <c r="EZ5" i="1"/>
  <c r="EY5" i="1"/>
  <c r="EX5" i="1"/>
  <c r="EW5" i="1"/>
  <c r="EV5" i="1"/>
  <c r="ER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I5" i="1"/>
  <c r="DH5" i="1"/>
  <c r="DG5" i="1"/>
  <c r="DF5" i="1"/>
  <c r="DE5" i="1"/>
  <c r="DD5" i="1"/>
  <c r="DC5" i="1"/>
  <c r="DA5" i="1"/>
  <c r="CZ5" i="1"/>
  <c r="CY5" i="1"/>
  <c r="CW5" i="1"/>
  <c r="CV5" i="1"/>
  <c r="CU5" i="1"/>
  <c r="CT5" i="1"/>
  <c r="CS5" i="1"/>
  <c r="CR5" i="1"/>
  <c r="CQ5" i="1"/>
  <c r="CP5" i="1"/>
  <c r="CN5" i="1"/>
  <c r="CM5" i="1"/>
  <c r="CL5" i="1"/>
  <c r="CK5" i="1"/>
  <c r="CH5" i="1"/>
  <c r="CG5" i="1"/>
  <c r="CF5" i="1"/>
  <c r="CE5" i="1"/>
  <c r="CB5" i="1"/>
  <c r="CA5" i="1"/>
  <c r="BZ5" i="1"/>
  <c r="BY5" i="1"/>
  <c r="BX5" i="1"/>
  <c r="BW5" i="1"/>
  <c r="BV5" i="1"/>
  <c r="BU5" i="1"/>
  <c r="BR5" i="1"/>
  <c r="BQ5" i="1"/>
  <c r="BN5" i="1"/>
  <c r="BM5" i="1"/>
  <c r="BK5" i="1"/>
  <c r="BJ5" i="1"/>
  <c r="BI5" i="1"/>
  <c r="BH5" i="1"/>
  <c r="BG5" i="1"/>
  <c r="BE5" i="1"/>
  <c r="BD5" i="1"/>
  <c r="BC5" i="1"/>
  <c r="BB5" i="1"/>
  <c r="BA5" i="1"/>
  <c r="AZ5" i="1"/>
  <c r="AW5" i="1"/>
  <c r="AV5" i="1"/>
  <c r="AU5" i="1"/>
  <c r="AT5" i="1"/>
  <c r="AS5" i="1"/>
  <c r="AP5" i="1"/>
  <c r="AO5" i="1"/>
  <c r="AN5" i="1"/>
  <c r="AM5" i="1"/>
  <c r="AL5" i="1"/>
  <c r="AK5" i="1"/>
  <c r="AJ5" i="1"/>
  <c r="AI5" i="1"/>
  <c r="AH5" i="1"/>
  <c r="AG5" i="1"/>
  <c r="AE5" i="1"/>
  <c r="AD5" i="1"/>
  <c r="AC5" i="1"/>
  <c r="AB5" i="1"/>
  <c r="AA5" i="1"/>
  <c r="Z5" i="1"/>
  <c r="Y5" i="1"/>
  <c r="X5" i="1"/>
  <c r="V5" i="1"/>
  <c r="U5" i="1"/>
  <c r="T5" i="1"/>
  <c r="S5" i="1"/>
  <c r="Q5" i="1"/>
  <c r="P5" i="1"/>
  <c r="O5" i="1"/>
  <c r="M5" i="1"/>
  <c r="L5" i="1"/>
  <c r="VI3" i="1"/>
  <c r="VE3" i="1"/>
  <c r="VC3" i="1"/>
  <c r="UW3" i="1"/>
  <c r="UT3" i="1"/>
  <c r="UB3" i="1"/>
  <c r="SW3" i="1"/>
  <c r="SB3" i="1"/>
  <c r="RB3" i="1"/>
  <c r="QI3" i="1"/>
  <c r="PG3" i="1"/>
  <c r="PD3" i="1"/>
  <c r="OU3" i="1"/>
  <c r="OT3" i="1"/>
  <c r="OS3" i="1"/>
  <c r="OQ3" i="1"/>
  <c r="ON3" i="1"/>
  <c r="OJ3" i="1"/>
  <c r="OI3" i="1"/>
  <c r="OG3" i="1"/>
  <c r="NY3" i="1"/>
  <c r="NV3" i="1"/>
  <c r="NT3" i="1"/>
  <c r="NQ3" i="1"/>
  <c r="NL3" i="1"/>
  <c r="NJ3" i="1"/>
  <c r="NB3" i="1"/>
  <c r="MW3" i="1"/>
  <c r="MC3" i="1"/>
  <c r="LZ3" i="1"/>
  <c r="KZ3" i="1"/>
  <c r="KY3" i="1"/>
  <c r="KX3" i="1"/>
  <c r="KV3" i="1"/>
  <c r="KT3" i="1"/>
  <c r="KS3" i="1"/>
  <c r="KR3" i="1"/>
  <c r="KC3" i="1"/>
  <c r="JK3" i="1"/>
  <c r="JG3" i="1"/>
  <c r="IZ3" i="1"/>
  <c r="IY3" i="1"/>
  <c r="IV3" i="1"/>
  <c r="IP3" i="1"/>
  <c r="ID3" i="1"/>
  <c r="HZ3" i="1"/>
  <c r="HX3" i="1"/>
  <c r="HU3" i="1"/>
  <c r="HQ3" i="1"/>
  <c r="HP3" i="1"/>
  <c r="HN3" i="1"/>
  <c r="HL3" i="1"/>
  <c r="HD3" i="1"/>
  <c r="HC3" i="1"/>
  <c r="GM3" i="1"/>
  <c r="GL3" i="1"/>
  <c r="GK3" i="1"/>
  <c r="GE3" i="1"/>
  <c r="GA3" i="1"/>
  <c r="FY3" i="1"/>
  <c r="FR3" i="1"/>
  <c r="FQ3" i="1"/>
  <c r="FP3" i="1"/>
  <c r="FO3" i="1"/>
  <c r="FN3" i="1"/>
  <c r="FM3" i="1"/>
  <c r="FL3" i="1"/>
  <c r="FK3" i="1"/>
  <c r="FJ3" i="1"/>
  <c r="FH3" i="1"/>
  <c r="FF3" i="1"/>
  <c r="FB3" i="1"/>
  <c r="FA3" i="1"/>
  <c r="EY3" i="1"/>
  <c r="EX3" i="1"/>
  <c r="EW3" i="1"/>
  <c r="EV3" i="1"/>
  <c r="ER3" i="1"/>
  <c r="EN3" i="1"/>
  <c r="EM3" i="1"/>
  <c r="EL3" i="1"/>
  <c r="EK3" i="1"/>
  <c r="EJ3" i="1"/>
  <c r="EH3" i="1"/>
  <c r="EF3" i="1"/>
  <c r="EE3" i="1"/>
  <c r="ED3" i="1"/>
  <c r="EC3" i="1"/>
  <c r="EB3" i="1"/>
  <c r="EA3" i="1"/>
  <c r="DZ3" i="1"/>
  <c r="DY3" i="1"/>
  <c r="DX3" i="1"/>
  <c r="DS3" i="1"/>
  <c r="DR3" i="1"/>
  <c r="DQ3" i="1"/>
  <c r="DM3" i="1"/>
  <c r="DL3" i="1"/>
  <c r="DK3" i="1"/>
  <c r="DH3" i="1"/>
  <c r="DE3" i="1"/>
  <c r="DC3" i="1"/>
  <c r="DB3" i="1"/>
  <c r="DA3" i="1"/>
  <c r="CZ3" i="1"/>
  <c r="CY3" i="1"/>
  <c r="CX3" i="1"/>
  <c r="CW3" i="1"/>
  <c r="CV3" i="1"/>
  <c r="CU3" i="1"/>
  <c r="CT3" i="1"/>
  <c r="CS3" i="1"/>
  <c r="CQ3" i="1"/>
  <c r="CP3" i="1"/>
  <c r="CN3" i="1"/>
  <c r="CM3" i="1"/>
  <c r="CL3" i="1"/>
  <c r="CK3" i="1"/>
  <c r="CJ3" i="1"/>
  <c r="CI3" i="1"/>
  <c r="CH3" i="1"/>
  <c r="CG3" i="1"/>
  <c r="CF3" i="1"/>
  <c r="CD3" i="1"/>
  <c r="CC3" i="1"/>
  <c r="CB3" i="1"/>
  <c r="CA3" i="1"/>
  <c r="BZ3" i="1"/>
  <c r="BY3" i="1"/>
  <c r="BX3" i="1"/>
  <c r="BW3" i="1"/>
  <c r="BV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F3" i="1"/>
  <c r="BE3" i="1"/>
  <c r="BD3" i="1"/>
  <c r="BB3" i="1"/>
  <c r="BA3" i="1"/>
  <c r="AZ3" i="1"/>
  <c r="AY3" i="1"/>
  <c r="AX3" i="1"/>
  <c r="AW3" i="1"/>
  <c r="AV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F3" i="1"/>
  <c r="AD3" i="1"/>
  <c r="AC3" i="1"/>
  <c r="AB3" i="1"/>
  <c r="Z3" i="1"/>
  <c r="Y3" i="1"/>
  <c r="X3" i="1"/>
  <c r="W3" i="1"/>
  <c r="V3" i="1"/>
  <c r="U3" i="1"/>
  <c r="T3" i="1"/>
  <c r="S3" i="1"/>
  <c r="R3" i="1"/>
  <c r="Q3" i="1"/>
  <c r="P3" i="1"/>
  <c r="O3" i="1"/>
  <c r="M3" i="1"/>
  <c r="L3" i="1"/>
  <c r="K3" i="1"/>
  <c r="J3" i="1"/>
  <c r="VI2" i="1"/>
  <c r="VF2" i="1"/>
  <c r="VE2" i="1"/>
  <c r="VC2" i="1"/>
  <c r="VB2" i="1"/>
  <c r="UZ2" i="1"/>
  <c r="UW2" i="1"/>
  <c r="UT2" i="1"/>
  <c r="UR2" i="1"/>
  <c r="UP2" i="1"/>
  <c r="UN2" i="1"/>
  <c r="UM2" i="1"/>
  <c r="UK2" i="1"/>
  <c r="UI2" i="1"/>
  <c r="UG2" i="1"/>
  <c r="UD2" i="1"/>
  <c r="UB2" i="1"/>
  <c r="UA2" i="1"/>
  <c r="TZ2" i="1"/>
  <c r="TY2" i="1"/>
  <c r="TX2" i="1"/>
  <c r="TT2" i="1"/>
  <c r="TS2" i="1"/>
  <c r="TR2" i="1"/>
  <c r="TP2" i="1"/>
  <c r="TN2" i="1"/>
  <c r="TL2" i="1"/>
  <c r="TF2" i="1"/>
  <c r="TD2" i="1"/>
  <c r="SW2" i="1"/>
  <c r="ST2" i="1"/>
  <c r="SP2" i="1"/>
  <c r="SL2" i="1"/>
  <c r="SH2" i="1"/>
  <c r="SD2" i="1"/>
  <c r="SC2" i="1"/>
  <c r="SB2" i="1"/>
  <c r="SA2" i="1"/>
  <c r="RZ2" i="1"/>
  <c r="RY2" i="1"/>
  <c r="RX2" i="1"/>
  <c r="RW2" i="1"/>
  <c r="RV2" i="1"/>
  <c r="RT2" i="1"/>
  <c r="RS2" i="1"/>
  <c r="RI2" i="1"/>
  <c r="RE2" i="1"/>
  <c r="RB2" i="1"/>
  <c r="QZ2" i="1"/>
  <c r="QW2" i="1"/>
  <c r="QQ2" i="1"/>
  <c r="QP2" i="1"/>
  <c r="QO2" i="1"/>
  <c r="QN2" i="1"/>
  <c r="QI2" i="1"/>
  <c r="QH2" i="1"/>
  <c r="QF2" i="1"/>
  <c r="QE2" i="1"/>
  <c r="QC2" i="1"/>
  <c r="QA2" i="1"/>
  <c r="PZ2" i="1"/>
  <c r="PY2" i="1"/>
  <c r="PQ2" i="1"/>
  <c r="PO2" i="1"/>
  <c r="PG2" i="1"/>
  <c r="PE2" i="1"/>
  <c r="PD2" i="1"/>
  <c r="PC2" i="1"/>
  <c r="OX2" i="1"/>
  <c r="OW2" i="1"/>
  <c r="OU2" i="1"/>
  <c r="OT2" i="1"/>
  <c r="OS2" i="1"/>
  <c r="OQ2" i="1"/>
  <c r="OP2" i="1"/>
  <c r="OO2" i="1"/>
  <c r="ON2" i="1"/>
  <c r="OM2" i="1"/>
  <c r="OJ2" i="1"/>
  <c r="OI2" i="1"/>
  <c r="OH2" i="1"/>
  <c r="OG2" i="1"/>
  <c r="OC2" i="1"/>
  <c r="OB2" i="1"/>
  <c r="OA2" i="1"/>
  <c r="NY2" i="1"/>
  <c r="NV2" i="1"/>
  <c r="NT2" i="1"/>
  <c r="NS2" i="1"/>
  <c r="NR2" i="1"/>
  <c r="NQ2" i="1"/>
  <c r="NL2" i="1"/>
  <c r="NJ2" i="1"/>
  <c r="NB2" i="1"/>
  <c r="MW2" i="1"/>
  <c r="MK2" i="1"/>
  <c r="MC2" i="1"/>
  <c r="MA2" i="1"/>
  <c r="LZ2" i="1"/>
  <c r="LW2" i="1"/>
  <c r="LO2" i="1"/>
  <c r="LN2" i="1"/>
  <c r="LM2" i="1"/>
  <c r="LI2" i="1"/>
  <c r="LD2" i="1"/>
  <c r="LB2" i="1"/>
  <c r="LA2" i="1"/>
  <c r="KZ2" i="1"/>
  <c r="KY2" i="1"/>
  <c r="KX2" i="1"/>
  <c r="KV2" i="1"/>
  <c r="KT2" i="1"/>
  <c r="KS2" i="1"/>
  <c r="KR2" i="1"/>
  <c r="KQ2" i="1"/>
  <c r="KP2" i="1"/>
  <c r="KN2" i="1"/>
  <c r="KG2" i="1"/>
  <c r="KF2" i="1"/>
  <c r="KE2" i="1"/>
  <c r="KC2" i="1"/>
  <c r="KB2" i="1"/>
  <c r="KA2" i="1"/>
  <c r="JZ2" i="1"/>
  <c r="JW2" i="1"/>
  <c r="JT2" i="1"/>
  <c r="JR2" i="1"/>
  <c r="JQ2" i="1"/>
  <c r="JO2" i="1"/>
  <c r="JM2" i="1"/>
  <c r="JL2" i="1"/>
  <c r="JK2" i="1"/>
  <c r="JJ2" i="1"/>
  <c r="JI2" i="1"/>
  <c r="JH2" i="1"/>
  <c r="JG2" i="1"/>
  <c r="JF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E6" i="1" l="1"/>
  <c r="D6" i="1"/>
  <c r="E12" i="1"/>
  <c r="D12" i="1"/>
  <c r="D5" i="1"/>
  <c r="E5" i="1"/>
  <c r="D69" i="1"/>
  <c r="E69" i="1"/>
  <c r="D14" i="1"/>
  <c r="E14" i="1"/>
  <c r="D9" i="1"/>
  <c r="E9" i="1"/>
  <c r="E10" i="1"/>
  <c r="D10" i="1"/>
  <c r="E11" i="1"/>
  <c r="E39" i="1"/>
  <c r="D39" i="1"/>
  <c r="SA3" i="1"/>
  <c r="QC3" i="1"/>
  <c r="SP3" i="1"/>
  <c r="QQ3" i="1"/>
  <c r="KE3" i="1"/>
  <c r="JB3" i="1"/>
  <c r="NR3" i="1"/>
  <c r="GF3" i="1"/>
  <c r="FI3" i="1"/>
  <c r="EP3" i="1"/>
  <c r="UP3" i="1"/>
  <c r="QO3" i="1"/>
  <c r="PZ3" i="1"/>
  <c r="PQ3" i="1"/>
  <c r="OM3" i="1"/>
  <c r="NS3" i="1"/>
  <c r="MK3" i="1"/>
  <c r="KP3" i="1"/>
  <c r="JQ3" i="1"/>
  <c r="IT3" i="1"/>
  <c r="GH3" i="1"/>
  <c r="FV3" i="1"/>
  <c r="EI3" i="1"/>
  <c r="DT3" i="1"/>
  <c r="CR3" i="1"/>
  <c r="IM3" i="1"/>
  <c r="IG3" i="1"/>
  <c r="HW3" i="1"/>
  <c r="HS3" i="1"/>
  <c r="HG3" i="1"/>
  <c r="HA3" i="1"/>
  <c r="GT3" i="1"/>
  <c r="PO3" i="1"/>
  <c r="RW3" i="1"/>
  <c r="OO3" i="1"/>
  <c r="OB3" i="1"/>
  <c r="GG3" i="1"/>
  <c r="UG3" i="1"/>
  <c r="TZ3" i="1"/>
  <c r="RY3" i="1"/>
  <c r="JM3" i="1"/>
  <c r="QZ3" i="1"/>
  <c r="OH3" i="1"/>
  <c r="II3" i="1"/>
  <c r="GI3" i="1"/>
  <c r="FG3" i="1"/>
  <c r="ET3" i="1"/>
  <c r="N3" i="1"/>
  <c r="UR3" i="1"/>
  <c r="TF3" i="1"/>
  <c r="RT3" i="1"/>
  <c r="RI3" i="1"/>
  <c r="QF3" i="1"/>
  <c r="OA3" i="1"/>
  <c r="LM3" i="1"/>
  <c r="LD3" i="1"/>
  <c r="KG3" i="1"/>
  <c r="IX3" i="1"/>
  <c r="HF3" i="1"/>
  <c r="FC3" i="1"/>
  <c r="EG3" i="1"/>
  <c r="DO3" i="1"/>
  <c r="DF3" i="1"/>
  <c r="BC3" i="1"/>
  <c r="IL3" i="1"/>
  <c r="IE3" i="1"/>
  <c r="IA3" i="1"/>
  <c r="HM3" i="1"/>
  <c r="HH3" i="1"/>
  <c r="GX3" i="1"/>
  <c r="GS3" i="1"/>
  <c r="GO3" i="1"/>
  <c r="UZ3" i="1"/>
  <c r="LA3" i="1"/>
  <c r="UN3" i="1"/>
  <c r="TT3" i="1"/>
  <c r="JF3" i="1"/>
  <c r="SC3" i="1"/>
  <c r="OW3" i="1"/>
  <c r="FX3" i="1"/>
  <c r="FE3" i="1"/>
  <c r="EQ3" i="1"/>
  <c r="ST3" i="1"/>
  <c r="RV3" i="1"/>
  <c r="QE3" i="1"/>
  <c r="LW3" i="1"/>
  <c r="LN3" i="1"/>
  <c r="JR3" i="1"/>
  <c r="JI3" i="1"/>
  <c r="IU3" i="1"/>
  <c r="HR3" i="1"/>
  <c r="GC3" i="1"/>
  <c r="DV3" i="1"/>
  <c r="DI3" i="1"/>
  <c r="CE3" i="1"/>
  <c r="AU3" i="1"/>
  <c r="IS3" i="1"/>
  <c r="IJ3" i="1"/>
  <c r="IC3" i="1"/>
  <c r="HO3" i="1"/>
  <c r="GW3" i="1"/>
  <c r="PC3" i="1"/>
  <c r="KA3" i="1"/>
  <c r="GU3" i="1"/>
  <c r="UK3" i="1"/>
  <c r="TS3" i="1"/>
  <c r="JD3" i="1"/>
  <c r="GJ3" i="1"/>
  <c r="FT3" i="1"/>
  <c r="FD3" i="1"/>
  <c r="CO3" i="1"/>
  <c r="TP3" i="1"/>
  <c r="TD3" i="1"/>
  <c r="QA3" i="1"/>
  <c r="LO3" i="1"/>
  <c r="JT3" i="1"/>
  <c r="JJ3" i="1"/>
  <c r="IR3" i="1"/>
  <c r="HT3" i="1"/>
  <c r="FZ3" i="1"/>
  <c r="DW3" i="1"/>
  <c r="DJ3" i="1"/>
  <c r="BU3" i="1"/>
  <c r="AE3" i="1"/>
  <c r="IQ3" i="1"/>
  <c r="GZ3" i="1"/>
  <c r="VF3" i="1"/>
  <c r="QW3" i="1"/>
  <c r="PY3" i="1"/>
  <c r="KB3" i="1"/>
  <c r="SD3" i="1"/>
  <c r="PE3" i="1"/>
  <c r="GB3" i="1"/>
  <c r="ES3" i="1"/>
  <c r="SH3" i="1"/>
  <c r="RS3" i="1"/>
  <c r="QN3" i="1"/>
  <c r="OX3" i="1"/>
  <c r="MA3" i="1"/>
  <c r="LI3" i="1"/>
  <c r="KN3" i="1"/>
  <c r="JW3" i="1"/>
  <c r="JO3" i="1"/>
  <c r="JA3" i="1"/>
  <c r="IO3" i="1"/>
  <c r="GD3" i="1"/>
  <c r="DP3" i="1"/>
  <c r="DG3" i="1"/>
  <c r="BG3" i="1"/>
  <c r="AA3" i="1"/>
  <c r="IW3" i="1"/>
  <c r="IH3" i="1"/>
  <c r="IB3" i="1"/>
  <c r="HI3" i="1"/>
  <c r="GY3" i="1"/>
  <c r="GR3" i="1"/>
  <c r="UA3" i="1"/>
  <c r="VB3" i="1"/>
  <c r="TR3" i="1"/>
  <c r="TL3" i="1"/>
  <c r="RX3" i="1"/>
  <c r="RE3" i="1"/>
  <c r="QP3" i="1"/>
  <c r="OP3" i="1"/>
  <c r="OC3" i="1"/>
  <c r="SL3" i="1"/>
  <c r="QH3" i="1"/>
  <c r="JZ3" i="1"/>
  <c r="HB3" i="1"/>
  <c r="GQ3" i="1"/>
  <c r="UI3" i="1"/>
  <c r="UD3" i="1"/>
  <c r="TY3" i="1"/>
  <c r="KF3" i="1"/>
  <c r="JC3" i="1"/>
  <c r="UM3" i="1"/>
  <c r="LB3" i="1"/>
  <c r="FW3" i="1"/>
  <c r="FS3" i="1"/>
  <c r="EU3" i="1"/>
  <c r="EO3" i="1"/>
  <c r="TX3" i="1"/>
  <c r="TN3" i="1"/>
  <c r="KQ3" i="1"/>
  <c r="JL3" i="1"/>
  <c r="JH3" i="1"/>
  <c r="IN3" i="1"/>
  <c r="HK3" i="1"/>
  <c r="GV3" i="1"/>
  <c r="FU3" i="1"/>
  <c r="EZ3" i="1"/>
  <c r="DU3" i="1"/>
  <c r="DN3" i="1"/>
  <c r="DD3" i="1"/>
  <c r="AG3" i="1"/>
  <c r="HY3" i="1"/>
  <c r="HV3" i="1"/>
  <c r="HJ3" i="1"/>
  <c r="HE3" i="1"/>
  <c r="E7" i="1"/>
  <c r="D7" i="1"/>
  <c r="E18" i="1"/>
  <c r="D18" i="1"/>
  <c r="D13" i="1"/>
  <c r="E13" i="1"/>
  <c r="VH3" i="1"/>
  <c r="VH2" i="1"/>
  <c r="VG2" i="1"/>
  <c r="VG3" i="1"/>
  <c r="VD3" i="1"/>
  <c r="VD2" i="1"/>
  <c r="VA3" i="1"/>
  <c r="VA2" i="1"/>
  <c r="UY2" i="1"/>
  <c r="UY3" i="1"/>
  <c r="UX2" i="1"/>
  <c r="UX3" i="1"/>
  <c r="UV3" i="1"/>
  <c r="UV2" i="1"/>
  <c r="UU3" i="1"/>
  <c r="UU2" i="1"/>
  <c r="US2" i="1"/>
  <c r="US3" i="1"/>
  <c r="UQ3" i="1"/>
  <c r="UQ2" i="1"/>
  <c r="UO2" i="1"/>
  <c r="UO3" i="1"/>
  <c r="UL3" i="1"/>
  <c r="UL2" i="1"/>
  <c r="UJ2" i="1"/>
  <c r="UJ3" i="1"/>
  <c r="UH3" i="1"/>
  <c r="UH2" i="1"/>
  <c r="UF3" i="1"/>
  <c r="UF2" i="1"/>
  <c r="UE3" i="1"/>
  <c r="UE2" i="1"/>
  <c r="UC3" i="1"/>
  <c r="UC2" i="1"/>
  <c r="TW2" i="1"/>
  <c r="TW3" i="1"/>
  <c r="TV2" i="1"/>
  <c r="TV3" i="1"/>
  <c r="TU3" i="1"/>
  <c r="TU2" i="1"/>
  <c r="TQ3" i="1"/>
  <c r="TQ2" i="1"/>
  <c r="TO2" i="1"/>
  <c r="TO3" i="1"/>
  <c r="TM2" i="1"/>
  <c r="TM3" i="1"/>
  <c r="TK2" i="1"/>
  <c r="TK3" i="1"/>
  <c r="TJ3" i="1"/>
  <c r="TJ2" i="1"/>
  <c r="TI2" i="1"/>
  <c r="TI3" i="1"/>
  <c r="TH2" i="1"/>
  <c r="TH3" i="1"/>
  <c r="TG2" i="1"/>
  <c r="TG3" i="1"/>
  <c r="TE3" i="1"/>
  <c r="TE2" i="1"/>
  <c r="TC3" i="1"/>
  <c r="TC2" i="1"/>
  <c r="TB3" i="1"/>
  <c r="TB2" i="1"/>
  <c r="TA3" i="1"/>
  <c r="TA2" i="1"/>
  <c r="SZ3" i="1"/>
  <c r="SZ2" i="1"/>
  <c r="SY2" i="1"/>
  <c r="SY3" i="1"/>
  <c r="SX2" i="1"/>
  <c r="SX3" i="1"/>
  <c r="SV2" i="1"/>
  <c r="SV3" i="1"/>
  <c r="SU2" i="1"/>
  <c r="SU3" i="1"/>
  <c r="SS2" i="1"/>
  <c r="SS3" i="1"/>
  <c r="SR2" i="1"/>
  <c r="SR3" i="1"/>
  <c r="SQ2" i="1"/>
  <c r="SQ3" i="1"/>
  <c r="SO2" i="1"/>
  <c r="SO3" i="1"/>
  <c r="SN3" i="1"/>
  <c r="SN2" i="1"/>
  <c r="SM3" i="1"/>
  <c r="SM2" i="1"/>
  <c r="SK3" i="1"/>
  <c r="SK2" i="1"/>
  <c r="SJ2" i="1"/>
  <c r="SJ3" i="1"/>
  <c r="SI3" i="1"/>
  <c r="SI2" i="1"/>
  <c r="SG3" i="1"/>
  <c r="SG2" i="1"/>
  <c r="SF3" i="1"/>
  <c r="SF2" i="1"/>
  <c r="SE3" i="1"/>
  <c r="SE2" i="1"/>
  <c r="RU3" i="1"/>
  <c r="RU2" i="1"/>
  <c r="RR2" i="1"/>
  <c r="RR3" i="1"/>
  <c r="RQ2" i="1"/>
  <c r="RQ3" i="1"/>
  <c r="RP3" i="1"/>
  <c r="RP2" i="1"/>
  <c r="RO2" i="1"/>
  <c r="RO3" i="1"/>
  <c r="RN2" i="1"/>
  <c r="RN3" i="1"/>
  <c r="RM2" i="1"/>
  <c r="RM3" i="1"/>
  <c r="RL2" i="1"/>
  <c r="RL3" i="1"/>
  <c r="RK2" i="1"/>
  <c r="RK3" i="1"/>
  <c r="RJ2" i="1"/>
  <c r="RJ3" i="1"/>
  <c r="RH2" i="1"/>
  <c r="RH3" i="1"/>
  <c r="RG2" i="1"/>
  <c r="RG3" i="1"/>
  <c r="RF2" i="1"/>
  <c r="RF3" i="1"/>
  <c r="RD2" i="1"/>
  <c r="RD3" i="1"/>
  <c r="RC3" i="1"/>
  <c r="RC2" i="1"/>
  <c r="RA3" i="1"/>
  <c r="RA2" i="1"/>
  <c r="QY3" i="1"/>
  <c r="QY2" i="1"/>
  <c r="QX3" i="1"/>
  <c r="QX2" i="1"/>
  <c r="QV3" i="1"/>
  <c r="QV2" i="1"/>
  <c r="QU3" i="1"/>
  <c r="QU2" i="1"/>
  <c r="QT3" i="1"/>
  <c r="QT2" i="1"/>
  <c r="QS3" i="1"/>
  <c r="QS2" i="1"/>
  <c r="QR3" i="1"/>
  <c r="QR2" i="1"/>
  <c r="QM3" i="1"/>
  <c r="QM2" i="1"/>
  <c r="QL3" i="1"/>
  <c r="QL2" i="1"/>
  <c r="QK2" i="1"/>
  <c r="QK3" i="1"/>
  <c r="QJ2" i="1"/>
  <c r="QJ3" i="1"/>
  <c r="QG2" i="1"/>
  <c r="QG3" i="1"/>
  <c r="QD2" i="1"/>
  <c r="QD3" i="1"/>
  <c r="QB2" i="1"/>
  <c r="QB3" i="1"/>
  <c r="PX2" i="1"/>
  <c r="PX3" i="1"/>
  <c r="PW2" i="1"/>
  <c r="PW3" i="1"/>
  <c r="PV2" i="1"/>
  <c r="PV3" i="1"/>
  <c r="PU3" i="1"/>
  <c r="PU2" i="1"/>
  <c r="PT2" i="1"/>
  <c r="PT3" i="1"/>
  <c r="PS2" i="1"/>
  <c r="PS3" i="1"/>
  <c r="PR3" i="1"/>
  <c r="PR2" i="1"/>
  <c r="PP3" i="1"/>
  <c r="PP2" i="1"/>
  <c r="PN2" i="1"/>
  <c r="PN3" i="1"/>
  <c r="PM3" i="1"/>
  <c r="PM2" i="1"/>
  <c r="PL2" i="1"/>
  <c r="PL3" i="1"/>
  <c r="PK2" i="1"/>
  <c r="PK3" i="1"/>
  <c r="PJ2" i="1"/>
  <c r="PJ3" i="1"/>
  <c r="PI2" i="1"/>
  <c r="PI3" i="1"/>
  <c r="PH2" i="1"/>
  <c r="PH3" i="1"/>
  <c r="PF3" i="1"/>
  <c r="PF2" i="1"/>
  <c r="PB2" i="1"/>
  <c r="PB3" i="1"/>
  <c r="PA3" i="1"/>
  <c r="PA2" i="1"/>
  <c r="OZ3" i="1"/>
  <c r="OZ2" i="1"/>
  <c r="OY3" i="1"/>
  <c r="OY2" i="1"/>
  <c r="OV2" i="1"/>
  <c r="OV3" i="1"/>
  <c r="OR3" i="1"/>
  <c r="OR2" i="1"/>
  <c r="OL2" i="1"/>
  <c r="OL3" i="1"/>
  <c r="OK2" i="1"/>
  <c r="OK3" i="1"/>
  <c r="OF3" i="1"/>
  <c r="OF2" i="1"/>
  <c r="OE2" i="1"/>
  <c r="OE3" i="1"/>
  <c r="OD2" i="1"/>
  <c r="OD3" i="1"/>
  <c r="NZ2" i="1"/>
  <c r="NZ3" i="1"/>
  <c r="NX3" i="1"/>
  <c r="NX2" i="1"/>
  <c r="NW3" i="1"/>
  <c r="NW2" i="1"/>
  <c r="NU3" i="1"/>
  <c r="NU2" i="1"/>
  <c r="NP3" i="1"/>
  <c r="NP2" i="1"/>
  <c r="NO3" i="1"/>
  <c r="NO2" i="1"/>
  <c r="NN3" i="1"/>
  <c r="NN2" i="1"/>
  <c r="NM3" i="1"/>
  <c r="NM2" i="1"/>
  <c r="NK3" i="1"/>
  <c r="NK2" i="1"/>
  <c r="NI2" i="1"/>
  <c r="NI3" i="1"/>
  <c r="NH3" i="1"/>
  <c r="NH2" i="1"/>
  <c r="NG2" i="1"/>
  <c r="NG3" i="1"/>
  <c r="NF2" i="1"/>
  <c r="NF3" i="1"/>
  <c r="NE2" i="1"/>
  <c r="NE3" i="1"/>
  <c r="ND3" i="1"/>
  <c r="ND2" i="1"/>
  <c r="NC2" i="1"/>
  <c r="NC3" i="1"/>
  <c r="NA2" i="1"/>
  <c r="NA3" i="1"/>
  <c r="MZ3" i="1"/>
  <c r="MZ2" i="1"/>
  <c r="MY3" i="1"/>
  <c r="MY2" i="1"/>
  <c r="MX3" i="1"/>
  <c r="MX2" i="1"/>
  <c r="MV2" i="1"/>
  <c r="MV3" i="1"/>
  <c r="MU3" i="1"/>
  <c r="MU2" i="1"/>
  <c r="MT3" i="1"/>
  <c r="MT2" i="1"/>
  <c r="MS2" i="1"/>
  <c r="MS3" i="1"/>
  <c r="MR3" i="1"/>
  <c r="MR2" i="1"/>
  <c r="MQ2" i="1"/>
  <c r="MQ3" i="1"/>
  <c r="MP2" i="1"/>
  <c r="MP3" i="1"/>
  <c r="MO3" i="1"/>
  <c r="MO2" i="1"/>
  <c r="MN3" i="1"/>
  <c r="MN2" i="1"/>
  <c r="MM3" i="1"/>
  <c r="MM2" i="1"/>
  <c r="ML3" i="1"/>
  <c r="ML2" i="1"/>
  <c r="MJ3" i="1"/>
  <c r="MJ2" i="1"/>
  <c r="MI3" i="1"/>
  <c r="MI2" i="1"/>
  <c r="MH3" i="1"/>
  <c r="MH2" i="1"/>
  <c r="MG3" i="1"/>
  <c r="MG2" i="1"/>
  <c r="MF3" i="1"/>
  <c r="MF2" i="1"/>
  <c r="ME2" i="1"/>
  <c r="ME3" i="1"/>
  <c r="MD2" i="1"/>
  <c r="MD3" i="1"/>
  <c r="MB3" i="1"/>
  <c r="MB2" i="1"/>
  <c r="LY3" i="1"/>
  <c r="LY2" i="1"/>
  <c r="LX3" i="1"/>
  <c r="LX2" i="1"/>
  <c r="LV3" i="1"/>
  <c r="LV2" i="1"/>
  <c r="LU3" i="1"/>
  <c r="LU2" i="1"/>
  <c r="LT3" i="1"/>
  <c r="LT2" i="1"/>
  <c r="LS2" i="1"/>
  <c r="LS3" i="1"/>
  <c r="LR2" i="1"/>
  <c r="LR3" i="1"/>
  <c r="LQ3" i="1"/>
  <c r="LQ2" i="1"/>
  <c r="LP3" i="1"/>
  <c r="LP2" i="1"/>
  <c r="LL3" i="1"/>
  <c r="LL2" i="1"/>
  <c r="LK3" i="1"/>
  <c r="LK2" i="1"/>
  <c r="LJ3" i="1"/>
  <c r="LJ2" i="1"/>
  <c r="LH2" i="1"/>
  <c r="LH3" i="1"/>
  <c r="LG3" i="1"/>
  <c r="LG2" i="1"/>
  <c r="LF3" i="1"/>
  <c r="LF2" i="1"/>
  <c r="LE2" i="1"/>
  <c r="LE3" i="1"/>
  <c r="LC2" i="1"/>
  <c r="LC3" i="1"/>
  <c r="KW2" i="1"/>
  <c r="KW3" i="1"/>
  <c r="KU2" i="1"/>
  <c r="KU3" i="1"/>
  <c r="KO2" i="1"/>
  <c r="KO3" i="1"/>
  <c r="KM2" i="1"/>
  <c r="KM3" i="1"/>
  <c r="KL2" i="1"/>
  <c r="KL3" i="1"/>
  <c r="KK2" i="1"/>
  <c r="KK3" i="1"/>
  <c r="KJ2" i="1"/>
  <c r="KJ3" i="1"/>
  <c r="KI2" i="1"/>
  <c r="KI3" i="1"/>
  <c r="KH3" i="1"/>
  <c r="KH2" i="1"/>
  <c r="KD2" i="1"/>
  <c r="KD3" i="1"/>
  <c r="JY3" i="1"/>
  <c r="JY2" i="1"/>
  <c r="JX2" i="1"/>
  <c r="JX3" i="1"/>
  <c r="JV3" i="1"/>
  <c r="JV2" i="1"/>
  <c r="JU3" i="1"/>
  <c r="JU2" i="1"/>
  <c r="JS3" i="1"/>
  <c r="JS2" i="1"/>
  <c r="JP3" i="1"/>
  <c r="JP2" i="1"/>
  <c r="JN3" i="1"/>
  <c r="JN2" i="1"/>
  <c r="JE2" i="1"/>
  <c r="JE3" i="1"/>
  <c r="D8" i="1"/>
  <c r="GN3" i="1"/>
  <c r="E8" i="1"/>
</calcChain>
</file>

<file path=xl/sharedStrings.xml><?xml version="1.0" encoding="utf-8"?>
<sst xmlns="http://schemas.openxmlformats.org/spreadsheetml/2006/main" count="787" uniqueCount="787">
  <si>
    <t>DEPTH_AMPLICON</t>
  </si>
  <si>
    <t>DEPTH_ALLELES</t>
  </si>
  <si>
    <t>COUNT_ALLELES</t>
  </si>
  <si>
    <t>SEQUENCE</t>
  </si>
  <si>
    <t>MD5</t>
  </si>
  <si>
    <t>LENGTH</t>
  </si>
  <si>
    <t>DEPTH</t>
  </si>
  <si>
    <t>SAMPLES</t>
  </si>
  <si>
    <t>MEAN_FREQ</t>
  </si>
  <si>
    <t>MAX_FREQ</t>
  </si>
  <si>
    <t>MIN_FREQ</t>
  </si>
  <si>
    <t>105-50A_S532_L001</t>
  </si>
  <si>
    <t>106-50A_S533_L001</t>
  </si>
  <si>
    <t>107-50A_S534_L001</t>
  </si>
  <si>
    <t>108-50A_S535_L001</t>
  </si>
  <si>
    <t>109-50A_S536_L001</t>
  </si>
  <si>
    <t>116-50A_S538_L001</t>
  </si>
  <si>
    <t>117-50A_S539_L001</t>
  </si>
  <si>
    <t>118-50A_S540_L001</t>
  </si>
  <si>
    <t>119-50A_S541_L001</t>
  </si>
  <si>
    <t>120-50A_S542_L001</t>
  </si>
  <si>
    <t>121-50A_S543_L001</t>
  </si>
  <si>
    <t>122-50A_S544_L001</t>
  </si>
  <si>
    <t>123-50A_S545_L001</t>
  </si>
  <si>
    <t>125-50A_S547_L001</t>
  </si>
  <si>
    <t>126-50A_S548_L001</t>
  </si>
  <si>
    <t>127-50A_S549_L001</t>
  </si>
  <si>
    <t>132-50A_S552_L001</t>
  </si>
  <si>
    <t>135-50A_S553_L001</t>
  </si>
  <si>
    <t>137-50A_S555_L001</t>
  </si>
  <si>
    <t>139-50A_S557_L001</t>
  </si>
  <si>
    <t>140-50A_S558_L001</t>
  </si>
  <si>
    <t>141-50A_S559_L001</t>
  </si>
  <si>
    <t>142-50A_S560_L001</t>
  </si>
  <si>
    <t>144-50A_S562_L001</t>
  </si>
  <si>
    <t>146-50A_S564_L001</t>
  </si>
  <si>
    <t>147-50A_S565_L001</t>
  </si>
  <si>
    <t>148-50A_S566_L001</t>
  </si>
  <si>
    <t>149-50A_S567_L001</t>
  </si>
  <si>
    <t>150-50A_S568_L001</t>
  </si>
  <si>
    <t>151-50A_S569_L001</t>
  </si>
  <si>
    <t>152-100A_S570_L001</t>
  </si>
  <si>
    <t>153-100A_S571_L001</t>
  </si>
  <si>
    <t>154-100A_S572_L001</t>
  </si>
  <si>
    <t>156-100A_S574_L001</t>
  </si>
  <si>
    <t>160-100A_S577_L001</t>
  </si>
  <si>
    <t>161-100A_S578_L001</t>
  </si>
  <si>
    <t>163-100A_S580_L001</t>
  </si>
  <si>
    <t>164-100A_S581_L001</t>
  </si>
  <si>
    <t>165-100A_S582_L001</t>
  </si>
  <si>
    <t>166-100A_S583_L001</t>
  </si>
  <si>
    <t>167-100A_S584_L001</t>
  </si>
  <si>
    <t>168-100A_S585_L001</t>
  </si>
  <si>
    <t>169-100A_S586_L001</t>
  </si>
  <si>
    <t>173-100_S590_L001</t>
  </si>
  <si>
    <t>175-100_S592_L001</t>
  </si>
  <si>
    <t>176-100_S593_L001</t>
  </si>
  <si>
    <t>180-100_S597_L001</t>
  </si>
  <si>
    <t>181-100_S598_L001</t>
  </si>
  <si>
    <t>182-100_S599_L001</t>
  </si>
  <si>
    <t>183-100_S600_L001</t>
  </si>
  <si>
    <t>184-100_S601_L001</t>
  </si>
  <si>
    <t>185-100_S602_L001</t>
  </si>
  <si>
    <t>187-100_S604_L001</t>
  </si>
  <si>
    <t>188-100_S605_L001</t>
  </si>
  <si>
    <t>190-100_S607_L001</t>
  </si>
  <si>
    <t>191-100_S608_L001</t>
  </si>
  <si>
    <t>192-100_S609_L001</t>
  </si>
  <si>
    <t>193-100_S610_L001</t>
  </si>
  <si>
    <t>194-100_S611_L001</t>
  </si>
  <si>
    <t>195-100_S612_L001</t>
  </si>
  <si>
    <t>196-100_S613_L001</t>
  </si>
  <si>
    <t>197-100_S614_L001</t>
  </si>
  <si>
    <t>198-100_S615_L001</t>
  </si>
  <si>
    <t>199-100_S616_L001</t>
  </si>
  <si>
    <t>204-100_S621_L001</t>
  </si>
  <si>
    <t>205-100_S622_L001</t>
  </si>
  <si>
    <t>206-100_S623_L001</t>
  </si>
  <si>
    <t>207-100_S624_L001</t>
  </si>
  <si>
    <t>208-100_S625_L001</t>
  </si>
  <si>
    <t>210-100_S627_L001</t>
  </si>
  <si>
    <t>211-100_S628_L001</t>
  </si>
  <si>
    <t>212-100_S629_L001</t>
  </si>
  <si>
    <t>213-100_S630_L001</t>
  </si>
  <si>
    <t>214-100_S631_L001</t>
  </si>
  <si>
    <t>215-100_S632_L001</t>
  </si>
  <si>
    <t>216-100_S633_L001</t>
  </si>
  <si>
    <t>217-100_S634_L001</t>
  </si>
  <si>
    <t>219-100_S636_L001</t>
  </si>
  <si>
    <t>220-100_S637_L001</t>
  </si>
  <si>
    <t>221-100_S638_L001</t>
  </si>
  <si>
    <t>223-100_S640_L001</t>
  </si>
  <si>
    <t>224-100_S641_L001</t>
  </si>
  <si>
    <t>225-100_S642_L001</t>
  </si>
  <si>
    <t>226-100_S643_L001</t>
  </si>
  <si>
    <t>228-100_S645_L001</t>
  </si>
  <si>
    <t>229-100_S646_L001</t>
  </si>
  <si>
    <t>230-100_S647_L001</t>
  </si>
  <si>
    <t>231-100_S648_L001</t>
  </si>
  <si>
    <t>232-100_S649_L001</t>
  </si>
  <si>
    <t>234-100_S651_L001</t>
  </si>
  <si>
    <t>235-100_S652_L001</t>
  </si>
  <si>
    <t>236-100_S653_L001</t>
  </si>
  <si>
    <t>237-100_S654_L001</t>
  </si>
  <si>
    <t>239-100_S655_L001</t>
  </si>
  <si>
    <t>240-100_S656_L001</t>
  </si>
  <si>
    <t>241-100_S657_L001</t>
  </si>
  <si>
    <t>242-100_S658_L001</t>
  </si>
  <si>
    <t>243-100_S659_L001</t>
  </si>
  <si>
    <t>244-100_S660_L001</t>
  </si>
  <si>
    <t>245-100_S661_L001</t>
  </si>
  <si>
    <t>246-100_S662_L001</t>
  </si>
  <si>
    <t>247-100_S663_L001</t>
  </si>
  <si>
    <t>ALD01_S68</t>
  </si>
  <si>
    <t>ALD02_S69</t>
  </si>
  <si>
    <t>ALD-02_S664_L001</t>
  </si>
  <si>
    <t>ALD03_S70</t>
  </si>
  <si>
    <t>ALD04_S71</t>
  </si>
  <si>
    <t>ALD05_S72</t>
  </si>
  <si>
    <t>ALD06_S73</t>
  </si>
  <si>
    <t>ALD07_S74</t>
  </si>
  <si>
    <t>ALD08_S75</t>
  </si>
  <si>
    <t>ALD09_S76</t>
  </si>
  <si>
    <t>ALD10_S77</t>
  </si>
  <si>
    <t>ALD11_S78</t>
  </si>
  <si>
    <t>ALD012</t>
  </si>
  <si>
    <t>ALD12_S79</t>
  </si>
  <si>
    <t>ALD13_S80</t>
  </si>
  <si>
    <t>ALD14_S81</t>
  </si>
  <si>
    <t>ALD15_S82</t>
  </si>
  <si>
    <t>ALD16_S83</t>
  </si>
  <si>
    <t>ALD17_S84</t>
  </si>
  <si>
    <t>ALD18_S85</t>
  </si>
  <si>
    <t>ALD19_S86</t>
  </si>
  <si>
    <t>ALD20_S87</t>
  </si>
  <si>
    <t>ALD21_S88</t>
  </si>
  <si>
    <t>ALD22_S89</t>
  </si>
  <si>
    <t>ALD23_S90</t>
  </si>
  <si>
    <t>ALD24</t>
  </si>
  <si>
    <t>ALD26</t>
  </si>
  <si>
    <t>ALD29</t>
  </si>
  <si>
    <t>BCK65_S1</t>
  </si>
  <si>
    <t>BCK66_S2</t>
  </si>
  <si>
    <t>BCK67_S3</t>
  </si>
  <si>
    <t>CCK26_S4</t>
  </si>
  <si>
    <t>CCK-26_S666_L001</t>
  </si>
  <si>
    <t>CCK27_S5</t>
  </si>
  <si>
    <t>CCK28_S9</t>
  </si>
  <si>
    <t>CCK29_S10</t>
  </si>
  <si>
    <t>CCK30_S11</t>
  </si>
  <si>
    <t>CCK31_S12</t>
  </si>
  <si>
    <t>CCK32_S13</t>
  </si>
  <si>
    <t>CCK33_S14</t>
  </si>
  <si>
    <t>CCK34_S6</t>
  </si>
  <si>
    <t>CCK35_S15</t>
  </si>
  <si>
    <t>CCK36_S16</t>
  </si>
  <si>
    <t>CCK37_S17</t>
  </si>
  <si>
    <t>CCK38_S18</t>
  </si>
  <si>
    <t>CCK39_S19</t>
  </si>
  <si>
    <t>CCK40_S20</t>
  </si>
  <si>
    <t>CCK41_S21</t>
  </si>
  <si>
    <t>CCK42_S22</t>
  </si>
  <si>
    <t>CCK43_S23</t>
  </si>
  <si>
    <t>CCK-43_S667_L001</t>
  </si>
  <si>
    <t>CCK44_S24</t>
  </si>
  <si>
    <t>CCK45_S25</t>
  </si>
  <si>
    <t>CCK46_S26</t>
  </si>
  <si>
    <t>CCK47_S27</t>
  </si>
  <si>
    <t>CCK48_S28</t>
  </si>
  <si>
    <t>CCK49_S29</t>
  </si>
  <si>
    <t>CCK50_S30</t>
  </si>
  <si>
    <t>CCK51_S31</t>
  </si>
  <si>
    <t>CCK52_S32</t>
  </si>
  <si>
    <t>CCK53_S33</t>
  </si>
  <si>
    <t>CCK54_S34</t>
  </si>
  <si>
    <t>CCK55_S35</t>
  </si>
  <si>
    <t>CCK180</t>
  </si>
  <si>
    <t>CCK181</t>
  </si>
  <si>
    <t>CCK182</t>
  </si>
  <si>
    <t>CCK183</t>
  </si>
  <si>
    <t>CCK185</t>
  </si>
  <si>
    <t>CCK186</t>
  </si>
  <si>
    <t>CCK187</t>
  </si>
  <si>
    <t>CCK188</t>
  </si>
  <si>
    <t>CCK189</t>
  </si>
  <si>
    <t>CCK190</t>
  </si>
  <si>
    <t>CCK191</t>
  </si>
  <si>
    <t>CCK192</t>
  </si>
  <si>
    <t>CCK193</t>
  </si>
  <si>
    <t>CCK194</t>
  </si>
  <si>
    <t>CCK195</t>
  </si>
  <si>
    <t>CCK196</t>
  </si>
  <si>
    <t>CCK197</t>
  </si>
  <si>
    <t>CCK198</t>
  </si>
  <si>
    <t>CCK400</t>
  </si>
  <si>
    <t>CCK401</t>
  </si>
  <si>
    <t>CCK402</t>
  </si>
  <si>
    <t>CCK403</t>
  </si>
  <si>
    <t>CCK404</t>
  </si>
  <si>
    <t>CCK406</t>
  </si>
  <si>
    <t>CCK407</t>
  </si>
  <si>
    <t>CCK408</t>
  </si>
  <si>
    <t>CCK409</t>
  </si>
  <si>
    <t>CCK410</t>
  </si>
  <si>
    <t>CCK411</t>
  </si>
  <si>
    <t>CCK412</t>
  </si>
  <si>
    <t>CCK413</t>
  </si>
  <si>
    <t>CCK414</t>
  </si>
  <si>
    <t>CCK415</t>
  </si>
  <si>
    <t>CCK416</t>
  </si>
  <si>
    <t>CCK417</t>
  </si>
  <si>
    <t>CCK418</t>
  </si>
  <si>
    <t>CCK419</t>
  </si>
  <si>
    <t>CCK420</t>
  </si>
  <si>
    <t>CCK421</t>
  </si>
  <si>
    <t>CCK422</t>
  </si>
  <si>
    <t>CCK423</t>
  </si>
  <si>
    <t>CCK424</t>
  </si>
  <si>
    <t>CCK425</t>
  </si>
  <si>
    <t>CCK426</t>
  </si>
  <si>
    <t>CCK427</t>
  </si>
  <si>
    <t>CCK428</t>
  </si>
  <si>
    <t>CCK429</t>
  </si>
  <si>
    <t>CCK430</t>
  </si>
  <si>
    <t>CCK431</t>
  </si>
  <si>
    <t>CCK432</t>
  </si>
  <si>
    <t>CCK433</t>
  </si>
  <si>
    <t>CCK434</t>
  </si>
  <si>
    <t>CCK479</t>
  </si>
  <si>
    <t>CCK480</t>
  </si>
  <si>
    <t>CCK481</t>
  </si>
  <si>
    <t>CCK482</t>
  </si>
  <si>
    <t>CCK483</t>
  </si>
  <si>
    <t>CCK484</t>
  </si>
  <si>
    <t>CCK485</t>
  </si>
  <si>
    <t>CCK487</t>
  </si>
  <si>
    <t>CCK488</t>
  </si>
  <si>
    <t>CCK489</t>
  </si>
  <si>
    <t>CCK490</t>
  </si>
  <si>
    <t>CCK491</t>
  </si>
  <si>
    <t>CCK492</t>
  </si>
  <si>
    <t>CCK506</t>
  </si>
  <si>
    <t>CCK507</t>
  </si>
  <si>
    <t>CCK508</t>
  </si>
  <si>
    <t>CCK509</t>
  </si>
  <si>
    <t>CCK510</t>
  </si>
  <si>
    <t>CCK511</t>
  </si>
  <si>
    <t>CCK512</t>
  </si>
  <si>
    <t>CCK513</t>
  </si>
  <si>
    <t>CCK514</t>
  </si>
  <si>
    <t>CCK515</t>
  </si>
  <si>
    <t>CCK516</t>
  </si>
  <si>
    <t>CCK517</t>
  </si>
  <si>
    <t>CCK518</t>
  </si>
  <si>
    <t>CCK519</t>
  </si>
  <si>
    <t>CNS214</t>
  </si>
  <si>
    <t>CNS215</t>
  </si>
  <si>
    <t>CNS216</t>
  </si>
  <si>
    <t>CNS217</t>
  </si>
  <si>
    <t>CNS217_2</t>
  </si>
  <si>
    <t>CNS218</t>
  </si>
  <si>
    <t>CNS218_2</t>
  </si>
  <si>
    <t>DCE56_S36</t>
  </si>
  <si>
    <t>DCE57_S37</t>
  </si>
  <si>
    <t>DCE58_S38</t>
  </si>
  <si>
    <t>DCE59_S39</t>
  </si>
  <si>
    <t>DCE60_S40</t>
  </si>
  <si>
    <t>DCE61_S41</t>
  </si>
  <si>
    <t>EF244</t>
  </si>
  <si>
    <t>EF245_2</t>
  </si>
  <si>
    <t>EF246</t>
  </si>
  <si>
    <t>EF246_2</t>
  </si>
  <si>
    <t>EF247</t>
  </si>
  <si>
    <t>FJS-97A_S524_L001</t>
  </si>
  <si>
    <t>FJS-101A_S528_L001</t>
  </si>
  <si>
    <t>FJS-103A_S530_L001</t>
  </si>
  <si>
    <t>FOX90_2</t>
  </si>
  <si>
    <t>FOX91_2</t>
  </si>
  <si>
    <t>FOX383</t>
  </si>
  <si>
    <t>HCK97</t>
  </si>
  <si>
    <t>HCK99</t>
  </si>
  <si>
    <t>HCK100</t>
  </si>
  <si>
    <t>HCK128</t>
  </si>
  <si>
    <t>HCK129</t>
  </si>
  <si>
    <t>HCK130</t>
  </si>
  <si>
    <t>HCK131</t>
  </si>
  <si>
    <t>HCK132</t>
  </si>
  <si>
    <t>HCK133</t>
  </si>
  <si>
    <t>HCK135</t>
  </si>
  <si>
    <t>HCK136</t>
  </si>
  <si>
    <t>HCK137</t>
  </si>
  <si>
    <t>HCK138</t>
  </si>
  <si>
    <t>HCK139</t>
  </si>
  <si>
    <t>HCK140</t>
  </si>
  <si>
    <t>HCK141</t>
  </si>
  <si>
    <t>HCK142</t>
  </si>
  <si>
    <t>HCK219</t>
  </si>
  <si>
    <t>HCK220</t>
  </si>
  <si>
    <t>HCK221</t>
  </si>
  <si>
    <t>HCK222</t>
  </si>
  <si>
    <t>HCK223</t>
  </si>
  <si>
    <t>HCK224</t>
  </si>
  <si>
    <t>HCK225</t>
  </si>
  <si>
    <t>HCK226</t>
  </si>
  <si>
    <t>HCK435</t>
  </si>
  <si>
    <t>HCK436</t>
  </si>
  <si>
    <t>HCK437</t>
  </si>
  <si>
    <t>HCK438</t>
  </si>
  <si>
    <t>HCK443</t>
  </si>
  <si>
    <t>HCK444</t>
  </si>
  <si>
    <t>HCK445</t>
  </si>
  <si>
    <t>HCK446</t>
  </si>
  <si>
    <t>HCK447</t>
  </si>
  <si>
    <t>HCK448</t>
  </si>
  <si>
    <t>MALB76</t>
  </si>
  <si>
    <t>MALB77</t>
  </si>
  <si>
    <t>MALB78</t>
  </si>
  <si>
    <t>MALB79</t>
  </si>
  <si>
    <t>MALB80</t>
  </si>
  <si>
    <t>MALB81</t>
  </si>
  <si>
    <t>MALB82</t>
  </si>
  <si>
    <t>MALB83</t>
  </si>
  <si>
    <t>MALB84</t>
  </si>
  <si>
    <t>MALB92</t>
  </si>
  <si>
    <t>MALB143</t>
  </si>
  <si>
    <t>MALB144</t>
  </si>
  <si>
    <t>MALB377</t>
  </si>
  <si>
    <t>MALB378</t>
  </si>
  <si>
    <t>MALB379</t>
  </si>
  <si>
    <t>MALB380</t>
  </si>
  <si>
    <t>MALB381</t>
  </si>
  <si>
    <t>MALB382</t>
  </si>
  <si>
    <t>MALB395</t>
  </si>
  <si>
    <t>MALB396</t>
  </si>
  <si>
    <t>MALB397</t>
  </si>
  <si>
    <t>MALB398</t>
  </si>
  <si>
    <t>MALB399</t>
  </si>
  <si>
    <t>MALB451</t>
  </si>
  <si>
    <t>MALB452</t>
  </si>
  <si>
    <t>MALB453</t>
  </si>
  <si>
    <t>MALB454</t>
  </si>
  <si>
    <t>MALB455</t>
  </si>
  <si>
    <t>MALB493</t>
  </si>
  <si>
    <t>MALB494</t>
  </si>
  <si>
    <t>MALB495</t>
  </si>
  <si>
    <t>MALB496</t>
  </si>
  <si>
    <t>MALB497</t>
  </si>
  <si>
    <t>MALB498</t>
  </si>
  <si>
    <t>MALB499</t>
  </si>
  <si>
    <t>MALB500</t>
  </si>
  <si>
    <t>MICCO228</t>
  </si>
  <si>
    <t>MICCO235</t>
  </si>
  <si>
    <t>MICCO236</t>
  </si>
  <si>
    <t>MICCO237</t>
  </si>
  <si>
    <t>MICCO239</t>
  </si>
  <si>
    <t>MICCO241</t>
  </si>
  <si>
    <t>MICCO242</t>
  </si>
  <si>
    <t>MICCO243</t>
  </si>
  <si>
    <t>OC01</t>
  </si>
  <si>
    <t>OC02</t>
  </si>
  <si>
    <t>OC03</t>
  </si>
  <si>
    <t>OC04</t>
  </si>
  <si>
    <t>OC05</t>
  </si>
  <si>
    <t>OC06</t>
  </si>
  <si>
    <t>OC07</t>
  </si>
  <si>
    <t>OC08</t>
  </si>
  <si>
    <t>OC09</t>
  </si>
  <si>
    <t>OC10</t>
  </si>
  <si>
    <t>OC11</t>
  </si>
  <si>
    <t>OC12</t>
  </si>
  <si>
    <t>OC13</t>
  </si>
  <si>
    <t>OC14</t>
  </si>
  <si>
    <t>OC15</t>
  </si>
  <si>
    <t>OC16</t>
  </si>
  <si>
    <t>OC17</t>
  </si>
  <si>
    <t>OC18</t>
  </si>
  <si>
    <t>OC19</t>
  </si>
  <si>
    <t>OC20</t>
  </si>
  <si>
    <t>OC21</t>
  </si>
  <si>
    <t>OC22</t>
  </si>
  <si>
    <t>OC23</t>
  </si>
  <si>
    <t>OC24</t>
  </si>
  <si>
    <t>OC25</t>
  </si>
  <si>
    <t>OC26</t>
  </si>
  <si>
    <t>OC27</t>
  </si>
  <si>
    <t>OC28</t>
  </si>
  <si>
    <t>OC29</t>
  </si>
  <si>
    <t>OC30</t>
  </si>
  <si>
    <t>OC31</t>
  </si>
  <si>
    <t>OC32</t>
  </si>
  <si>
    <t>OC33</t>
  </si>
  <si>
    <t>OC34</t>
  </si>
  <si>
    <t>OC35</t>
  </si>
  <si>
    <t>OC36</t>
  </si>
  <si>
    <t>OC37</t>
  </si>
  <si>
    <t>OC38</t>
  </si>
  <si>
    <t>OC39</t>
  </si>
  <si>
    <t>OC40</t>
  </si>
  <si>
    <t>OC41</t>
  </si>
  <si>
    <t>OC42</t>
  </si>
  <si>
    <t>OC43</t>
  </si>
  <si>
    <t>OC44</t>
  </si>
  <si>
    <t>RR95</t>
  </si>
  <si>
    <t>RR96</t>
  </si>
  <si>
    <t>RR110</t>
  </si>
  <si>
    <t>RR111</t>
  </si>
  <si>
    <t>RR112</t>
  </si>
  <si>
    <t>RR113</t>
  </si>
  <si>
    <t>RR205</t>
  </si>
  <si>
    <t>RR206</t>
  </si>
  <si>
    <t>RR207</t>
  </si>
  <si>
    <t>SHIL93</t>
  </si>
  <si>
    <t>SHIL101</t>
  </si>
  <si>
    <t>SHIL102</t>
  </si>
  <si>
    <t>SHIL103</t>
  </si>
  <si>
    <t>SHIL104</t>
  </si>
  <si>
    <t>SHIL105</t>
  </si>
  <si>
    <t>SHIL106</t>
  </si>
  <si>
    <t>SHIL107</t>
  </si>
  <si>
    <t>SHIL108</t>
  </si>
  <si>
    <t>SHIL145</t>
  </si>
  <si>
    <t>SHIL146</t>
  </si>
  <si>
    <t>SHIL147</t>
  </si>
  <si>
    <t>SHIL147_2</t>
  </si>
  <si>
    <t>SHIL148</t>
  </si>
  <si>
    <t>SHIL151</t>
  </si>
  <si>
    <t>SHIL152</t>
  </si>
  <si>
    <t>SHIL153</t>
  </si>
  <si>
    <t>SHIL154</t>
  </si>
  <si>
    <t>SHIL155</t>
  </si>
  <si>
    <t>SHIL157</t>
  </si>
  <si>
    <t>SHIL158</t>
  </si>
  <si>
    <t>SHIL159</t>
  </si>
  <si>
    <t>SHIL160</t>
  </si>
  <si>
    <t>SHIL162</t>
  </si>
  <si>
    <t>SHIL163</t>
  </si>
  <si>
    <t>SHIL165</t>
  </si>
  <si>
    <t>SHIL166</t>
  </si>
  <si>
    <t>SHIL167</t>
  </si>
  <si>
    <t>SHIL168</t>
  </si>
  <si>
    <t>SHIL169</t>
  </si>
  <si>
    <t>SHIL456</t>
  </si>
  <si>
    <t>SHIL457</t>
  </si>
  <si>
    <t>SHIL458</t>
  </si>
  <si>
    <t>SHIL459</t>
  </si>
  <si>
    <t>SHIL460</t>
  </si>
  <si>
    <t>SHIL461</t>
  </si>
  <si>
    <t>SHIL462</t>
  </si>
  <si>
    <t>SHIL463</t>
  </si>
  <si>
    <t>SHIL464</t>
  </si>
  <si>
    <t>SHIL465</t>
  </si>
  <si>
    <t>SHIL466</t>
  </si>
  <si>
    <t>SHIL467</t>
  </si>
  <si>
    <t>SHIL468</t>
  </si>
  <si>
    <t>SHIL469</t>
  </si>
  <si>
    <t>SHIL470</t>
  </si>
  <si>
    <t>SHIL471</t>
  </si>
  <si>
    <t>SHIL472</t>
  </si>
  <si>
    <t>SHIL473</t>
  </si>
  <si>
    <t>SHIL474</t>
  </si>
  <si>
    <t>SHIL475</t>
  </si>
  <si>
    <t>SHIL476</t>
  </si>
  <si>
    <t>SHIL477</t>
  </si>
  <si>
    <t>SHIL478</t>
  </si>
  <si>
    <t>SLCA87_2</t>
  </si>
  <si>
    <t>SLCA88_2</t>
  </si>
  <si>
    <t>SLCA89_2</t>
  </si>
  <si>
    <t>SMA-64_S668_L001</t>
  </si>
  <si>
    <t>SRTZ124</t>
  </si>
  <si>
    <t>SRTZ124_2</t>
  </si>
  <si>
    <t>SRTZ125</t>
  </si>
  <si>
    <t>SRTZ125_2</t>
  </si>
  <si>
    <t>SRTZ126</t>
  </si>
  <si>
    <t>SRTZ126_2</t>
  </si>
  <si>
    <t>SRTZ127</t>
  </si>
  <si>
    <t>SRTZ127_2</t>
  </si>
  <si>
    <t>SRTZ199</t>
  </si>
  <si>
    <t>SRTZ200</t>
  </si>
  <si>
    <t>SRTZ201</t>
  </si>
  <si>
    <t>SRTZ201_2</t>
  </si>
  <si>
    <t>SRTZ202</t>
  </si>
  <si>
    <t>SRTZ202_2</t>
  </si>
  <si>
    <t>SRTZ203</t>
  </si>
  <si>
    <t>SRTZ203_2</t>
  </si>
  <si>
    <t>SRTZ204</t>
  </si>
  <si>
    <t>TEL109</t>
  </si>
  <si>
    <t>TEL229</t>
  </si>
  <si>
    <t>TEL229_2</t>
  </si>
  <si>
    <t>TEL230_2</t>
  </si>
  <si>
    <t>TEL231</t>
  </si>
  <si>
    <t>TEL231_2</t>
  </si>
  <si>
    <t>TEL232</t>
  </si>
  <si>
    <t>TEL233</t>
  </si>
  <si>
    <t>TEL233_2</t>
  </si>
  <si>
    <t>TEL234_2</t>
  </si>
  <si>
    <t>TEL449</t>
  </si>
  <si>
    <t>TEL450</t>
  </si>
  <si>
    <t>TEL450_2</t>
  </si>
  <si>
    <t>VALK386</t>
  </si>
  <si>
    <t>VALK387</t>
  </si>
  <si>
    <t>VALK388</t>
  </si>
  <si>
    <t>VALK389</t>
  </si>
  <si>
    <t>VALK390</t>
  </si>
  <si>
    <t>VALK391</t>
  </si>
  <si>
    <t>VALK392</t>
  </si>
  <si>
    <t>VALK393</t>
  </si>
  <si>
    <t>VALK394</t>
  </si>
  <si>
    <t>VALK501</t>
  </si>
  <si>
    <t>VALK502</t>
  </si>
  <si>
    <t>VALK503</t>
  </si>
  <si>
    <t>VALK504</t>
  </si>
  <si>
    <t>VALK505</t>
  </si>
  <si>
    <t>VRA03_S45</t>
  </si>
  <si>
    <t>VRA04_S46</t>
  </si>
  <si>
    <t>VRA05_S47</t>
  </si>
  <si>
    <t>VRA06_S48</t>
  </si>
  <si>
    <t>VRA07_S49</t>
  </si>
  <si>
    <t>VRA08_S50</t>
  </si>
  <si>
    <t>VRA09_S51</t>
  </si>
  <si>
    <t>VRA-09_S669_L001</t>
  </si>
  <si>
    <t>VRA10_S52</t>
  </si>
  <si>
    <t>VRA11_S53</t>
  </si>
  <si>
    <t>VRA12_S54</t>
  </si>
  <si>
    <t>VRA13_S55</t>
  </si>
  <si>
    <t>VRA14_S56</t>
  </si>
  <si>
    <t>VRA15_S57</t>
  </si>
  <si>
    <t>VRA16_S58</t>
  </si>
  <si>
    <t>VRA17_S59</t>
  </si>
  <si>
    <t>VRA18_S60</t>
  </si>
  <si>
    <t>VRA19_S61</t>
  </si>
  <si>
    <t>VRA20_S62</t>
  </si>
  <si>
    <t>VRA21_S63</t>
  </si>
  <si>
    <t>VRA22_S64</t>
  </si>
  <si>
    <t>VRA23_S65</t>
  </si>
  <si>
    <t>VRA24_S66</t>
  </si>
  <si>
    <t>VRA25_S67</t>
  </si>
  <si>
    <t>VRA70</t>
  </si>
  <si>
    <t>VRA71</t>
  </si>
  <si>
    <t>VRA72</t>
  </si>
  <si>
    <t>VRA73</t>
  </si>
  <si>
    <t>VRA74</t>
  </si>
  <si>
    <t>VRA94</t>
  </si>
  <si>
    <t>VRA114</t>
  </si>
  <si>
    <t>VRA115</t>
  </si>
  <si>
    <t>VRA171</t>
  </si>
  <si>
    <t>VRA172</t>
  </si>
  <si>
    <t>VRA173</t>
  </si>
  <si>
    <t>VRA174</t>
  </si>
  <si>
    <t>VRA175</t>
  </si>
  <si>
    <t>VRA177</t>
  </si>
  <si>
    <t>VRA208</t>
  </si>
  <si>
    <t>VRA209</t>
  </si>
  <si>
    <t>VRA210</t>
  </si>
  <si>
    <t>VRA211</t>
  </si>
  <si>
    <t>VRA212</t>
  </si>
  <si>
    <t>VRA213</t>
  </si>
  <si>
    <t>AGGGGTGTTCCAGGAGATGTTTAAGACCGACTGTCACTTCATTAACGGCACGGAGCGGGTGAGGTTCGTGGAGAGGCTGTTCTACAACCGGCAGCTGTACGCGATGTTCGACAGCGATGTGGGGCACTACGTGGGGTTCACCCCGTATGGGGAGAGGAATGCCCAATACAGGAACAGCGACCCGGCGCTCATGGAGTACAAACGGGGTCAAGTGGACAATTACTGCCGGCACAACTACGAGGTGTCCACCCCGTTCCTCGTGGAGCGCA</t>
  </si>
  <si>
    <t>69a834e933578a79dd09657d3e1643d5</t>
  </si>
  <si>
    <t>AllSamples1_30_24-000001</t>
  </si>
  <si>
    <t>AGGGGTGTTCCAGAGGAGGATAAAGGTCGTGTCATTTCATTAACGGCACTGAGCAGGTGAGGTTCGTGCAGATGCACAGCTACAACCGGGAGCAGTACACGCACTTCGACAGCGATGTGGGAGTCTGCATCTGGGACACCCCAGATGAGGAGAAACAGGCCTGGTACTGCAACAGCCAGCTGGAAATCCTGGAGTACAGATGGGCTCTGGTGGACATGCACTGCCACTACAACTATGAGATTGTCGCCCGGTTCCTCGTGGGCCGCA</t>
  </si>
  <si>
    <t>87ade5a75d2799b9f534ac3e1b56b7a6</t>
  </si>
  <si>
    <t>AllSamples1_30_24-000002</t>
  </si>
  <si>
    <t>AGGGGTGTTCCAGGAGATGTTTAAGTCCGAGTGTCAGTTCACTAACGGCACGGAGAAGGTGAGGTACATACGGAGGCACTTCTACAACCGGCTGCAGTACACGATGTACGACAGCGATGTGGGGCACTTCGTGGGGTTCACCCCCTTTGGGGAGAGGGTTGCCAGGGCCTGGAACAGCGACCCGGATTTCATGGAGCGCAGACGGACTGCAGTGGACTGGTACTGCCGGCACAACTACGGGGTTGATGCCCCGTTCAGCGTGGAGCGCC</t>
  </si>
  <si>
    <t>9db543c9b3f7469e8b338f5350666cb3</t>
  </si>
  <si>
    <t>AllSamples1_30_24-000003</t>
  </si>
  <si>
    <t>AGGGGTGTTCCAGGAGATGTTTAAGACCGACTGTCACTTCATTAACGGCACGGAGCGGGTGAGGTTCGTGGAGAGGCTGTTCTACAACCGGCAGCTGTACGCGATGTTCGACAGCGATGTGGGGCACTACGTGGGGTTCACCCCGTATGGGGAGAGGAATGCCCAATACAGGAACAGCGACCCGGCGCTCATGGAGTACAAACGGGGTCAAGTGGACAATTACTGCCGGCACAACTACGAGGTGTTCACCCCGTTCAGCGTGGAGCGCC</t>
  </si>
  <si>
    <t>731a851598cfb64c9ea78f819d3cbab8</t>
  </si>
  <si>
    <t>AllSamples1_30_24-000004</t>
  </si>
  <si>
    <t>AGGGGTGCTCCAGGAGATGTTTAAGGCCGAGTGTCACTTCATTAACGGCACGGAGCGGGTGAGGTTGGTAGTGAGAAACTTCTACAACCGGCTGCAGGACGTGATGTTCGACAGCGATGTGGGGCACTACGTGGGGTTCACCCCGTATGGGGAGATGAATGCCAGGTACTGGAACAGCGACCCGGTGATCATGGAGCGCAGACGGGCTGAGGTGGACACGGTCTGCCGGCACAACTACGGGGTGTACACCCCGTTCAGCGTGGAGCGCC</t>
  </si>
  <si>
    <t>aacb9f089aea104b55d33bbb9085dc2b</t>
  </si>
  <si>
    <t>AllSamples1_30_24-000006</t>
  </si>
  <si>
    <t>AGGGGTGTTCCAGGAGATGGGAAAGGCCGAGTGTCACTTCATTAACGGCACGGAGAAGGTGAGGTTGGTGGAGAGGCACTTCTACAACCGGCTGCAGATCCTGATGTTCGACAGCGATGTGGGGCACTACGTGGGGTTCACCCCCTTTGGGGAGAAACAGGCTCGGTACAGGAACAGCGACCCGGAAAGGATGGAGTACGCACGGACTGCAGTGGACACGTTCTGCCGGCACAACTACGAGCTTGATGCCCCGTTCAGCGTGGAGCGCA</t>
  </si>
  <si>
    <t>f9dd13bffeea26b9aaefffcc4cb90dd6</t>
  </si>
  <si>
    <t>AllSamples1_30_24-000008</t>
  </si>
  <si>
    <t>CCATGAAGGAGGAGGGGGAGGAATAGAAGAAGACCCCCTGGGTGTGGCAGAAATGGGGGTGATTT</t>
  </si>
  <si>
    <t>6e9b363bdfa08d4214fcb17a72ca6afd</t>
  </si>
  <si>
    <t>AllSamples1_30_24-000005</t>
  </si>
  <si>
    <t>AGGGGTGTTCCAGAGGATGGGAAAGTCCGAGTGTCACTTCATTAACGGCACGGAGAAGGTGAGGTTGGTGGAGAGGCACTTCTACAACCGGCTGCAGATCCTGATGTTCGACAGCGATGTGGGGCACTTCGTGGGGTTCACCCCGTATGGGGAGAAACAGGCTCGGTACAGGAACAGCCTCCCGGATTTCATGGAGCGCAAACGGGCTGAGGTGGACACGGTCTGCCGGCACAACTACGAGGGGTTCGCCCCGTTCAGCGCGGAGCGCC</t>
  </si>
  <si>
    <t>09c77d7c5b203a8ddaac48dadaae2e54</t>
  </si>
  <si>
    <t>AllSamples1_30_24-000007</t>
  </si>
  <si>
    <t>AGGGGTGTTCCAGGAGATGGTAAAGTACGACTGTCACTTCATTAACGGCACGGAGCGGGTGAGGTTGGTAGTGAGAAACTTCTACAACCGGCTGCAGGACGTGATGTTCGACAGCGATGTGGGGCACTACGTGGGGTTCACCCCGTATGGGGAGATGAATGCCAGGTACTGGAACAGCGACCCGGTGATCATGGAGCGCAGACGGGCTGAGGTGGACACGGTCTGCCGGCACAACTACGGGGTGTACACCCCGTTCAGCGTGGAGCGCC</t>
  </si>
  <si>
    <t>1d66f40cf23f0088065711126b00b5e4</t>
  </si>
  <si>
    <t>AllSamples1_30_24-000009</t>
  </si>
  <si>
    <t>AGGGGTGTTCCAGAGGATGGGAAAGTCCGAGTGTCACTTCATTAACGGCACGGAGCGGGTGAGGTTGGTGGAGAGGCACTTCTACAACCGGCTGCAGATCCTGATGTTCGACAGCGATGTGGGGCACTTCGTGGGGTTCACCCCGTATGGGGAGAAACAGGCTCGGTACAGGAACAGCCTCCCGGATTTCATGGAGCGCAAACGGGCTGAGGTGGACACGGTCTGCCGGCACAACTACGAGGTGTTCGCCCCGTTCAGCGCGGAGCGCC</t>
  </si>
  <si>
    <t>8dccf8e8b5a174aee811d369fc7c41ec</t>
  </si>
  <si>
    <t>AllSamples1_30_24-000010</t>
  </si>
  <si>
    <t>AGGGGTGCTCCAGGAGATGTTTAAGGCCGAGTGTCACTTCATTAACGGCACGGAGCGGGTGAGGTTGGTAGTGAGAAACTTCTACAACCGGCTGCAGGACGTGATGTTCGACAGCGATGTGGGGCACTACGTGGGGTTCACCCCGTATGGGGAGATGAATGCCAGGTACTGGAACAGCGACCCGGTGATCATGGAGCGTAGACGGGCTGAGGTGGACACGGTCTGCCGGCACAACTACGGGGTGTACACCCCGTTCAGCGTGGAGCGCC</t>
  </si>
  <si>
    <t>cedf017fb9b4dd8668fc51196d2bad1a</t>
  </si>
  <si>
    <t>AllSamples1_30_24-000011</t>
  </si>
  <si>
    <t>AGGGGTGTTCCAGGAGATGTTTAAGACCGACTGTCACTTCATTAACGGCACGGAGCGGGTGAGGTTCGTGGAGAGGCTGTTCTACAACCGGCAGCTGTACGCGATGTTCGACAGCGATGTGGGGCACTACGTGGGGTTCACCCCGTATGGGGAGAGGAATGCCCAATACAGGAACAGCGACCCGGCGCTCACGGAGTACAAACGGGGTCAAGTGGACAATTACTGCCGGCACAACTACGAGGTGTCCACCCCGTTCCTCGTGGAGCGCA</t>
  </si>
  <si>
    <t>850a63a14b57c46c44e2a30319afb700</t>
  </si>
  <si>
    <t>AllSamples1_30_24-000014</t>
  </si>
  <si>
    <t>AGGGGTGCTCCAGGAGATGTTTAAGGCCGAGTGTCACTTCATTAACGGCACGGAGCGGGTGAGGTTGGTAGTGAGAAACTTCTACAACCGGCTTCAGGACGTGATGTTCGACAGCGATGTGGGGCACTACGTGGGGTTCACCCCGTATGGGGAGATGAATGCCAGGTACTGGAACAGCGACCCGGTGATCATGGAGCGCAGACGGGCTGAGGTGGACACGGTCTGCCGGCACAACTACGGGGTGTACACCCCGTTCAGCGTGGAGCGCC</t>
  </si>
  <si>
    <t>c34d0ec6d87192e26ff5d7f92c8c5848</t>
  </si>
  <si>
    <t>AllSamples1_30_24-000013</t>
  </si>
  <si>
    <t>AGAGAACGGCTACACCAGCACGGATGAGGAAGTTTCAGAGTTCAGCCTGGCCTCAGATGG</t>
  </si>
  <si>
    <t>30fb52ae2ce0fc3b9b9dd3660c776875</t>
  </si>
  <si>
    <t>AllSamples1_30_24-000012</t>
  </si>
  <si>
    <t>AGGGGTGTTCCAGGAGATGTATAAGGATGAGTGTCACTTCATTAACCGCATGGAGCGGGTGAGGTTCGTGCAGAGGGTGTTCTACAACCGGCTGCAGGACGTGATGTTCGACAGCGATGTGGGGCACTACGTGGGGTTCACCCCCTTTGGGGAGAAGGTTGCCAGGTACTGGAACAGCGACCCGGTGATCATGGAGGATATGCGGGCTTCAGTGAACACGTACTGCCGGCACAACTACGAGCTTGATGCCCCGTTCAGCGTGGAGCGCA</t>
  </si>
  <si>
    <t>606968f1d1f8017617140e7a3b6e0842</t>
  </si>
  <si>
    <t>AllSamples1_30_24-000025</t>
  </si>
  <si>
    <t>AGGGGTGTTCCAGGAGATGGGAAAGGCCGAGTGTCACTTCATTAACGGCACGGAGAAGGTGAGGTTGGTGGAGAGGCACTTCTACAACCGGCTGCAGATCCTGATGTTCGACAGCGATGTGGGGCACTACGTGGGGTTCACCCCCTTTGGGGAGAAACAGGCTCGGTACAGGAACAGCGACCCGGAAAGGATGGAGTACGCACGGACTGCAGTGGACACGTACTGCCGGCACAACTACGAGGTGTTCGCCCCGTTCAGCGTGGAGCGCC</t>
  </si>
  <si>
    <t>56bc3a9fcab913890da8b808348c6a33</t>
  </si>
  <si>
    <t>AllSamples1_30_24-000026</t>
  </si>
  <si>
    <t>AGGGGTGCTCCAGGAGATGTTTAAGGCCGAGTGTCACTTCATTAACGGCACGGAGCGGGTGAGGTTGGTAGTGAGAAACTTCTACAACCGGCTGCAGGACGTGATGTTCGACAGCGATGTGGGGCACTTCGTGGGGTTCACCCCGTATGGGGAGATGAATGCCAGGTACTGGAACAGCGACCCGGTGATCATGGAGCGTAGACGGGCTGAGGTGGACACGGTCTGCCGGCACAACTACGGGGTGTACACCCCGTTCAGCGTGGAGCGCC</t>
  </si>
  <si>
    <t>e1890d5e1867a89aeefcba9884211984</t>
  </si>
  <si>
    <t>AllSamples1_30_24-000021</t>
  </si>
  <si>
    <t>AGGGGTGTTCCAGGAGATGTTTAAGACCGACTGTCACTTCATTAACGGCACGGAGCGGGTGAGGTTCGTGGAGAGGCTGTTCTACAACCGGCTGCTGTACGCGATGTTCGACAGCGATGTGGGGCACTACGTGGGGTTCACCCCGTATGGGGAGAGGAATGCCCAATACAGGAACAGCGACCCGGCGCTCATGGAGTACAAACGGGGTCAAGTGGACAATTACTGCCGGCACAACTACGAGGTGTTCACCCCGTTCAGCGTGGAGCGCC</t>
  </si>
  <si>
    <t>445c7efaa1efbe6b90e47a7d224971ac</t>
  </si>
  <si>
    <t>AllSamples1_30_24-000019</t>
  </si>
  <si>
    <t>AGGGGTGTTCCAGGAGATGTATAAGGATGAGTGTCACTTCATTAACGGCACGGAGCGGGTGAGGTTCGTGCAGAGGGTGTTCTACAACCGGCTGCAGGACGTGATGTTCGACAGCGATGTGGGGCACTACGTGGGGTTCACCCCCTTTGGGGAGAAGGTTGCCAGGTACTGGAACAGCGACCCGGTGATCATGGAGGATATGCGGGCTTCAGTGAACACGTACTGCCGGCACAACTACGAGCTTGATGCCCCGTTCAGCGTGGAGCGCA</t>
  </si>
  <si>
    <t>38ee9bcb089cec2221ac2e52ad8059f9</t>
  </si>
  <si>
    <t>AllSamples1_30_24-000069</t>
  </si>
  <si>
    <t>AGGGGTGTTCCAGAGGATGGCAAAGGCCGAGTGTCACTTCATTAACGGCACGGAGCGGGTGAGGTTCGTGGTGAGGCTGTTCTACAACCGGCAGCTGTACGCGATGTACGACAGCGATGTGGGGCACTACGTGGGGTTCACCCCGTATGGGGAGAAACAGGCTCAGTACTGCAACAGCAACCCGGAAAGGATGGAGTACGAACGGACTGCAGTGGACTGGTACTGCCGGCACAACTACGGAGTGTTCACCCCGTTCAGCGTGGAGCGCA</t>
  </si>
  <si>
    <t>cc8abfdefb91bbd643848b3c0e51e129</t>
  </si>
  <si>
    <t>AllSamples1_30_24-000073</t>
  </si>
  <si>
    <t>ACACACAAAAGAGAAACAATAGAAAGGGCTCATGGCTAACAGCTATTTATTTGTTATGATCTCACCCTAAAGATTTTCACGTTAAGGCTTAATGTGGTTTGGTACA</t>
  </si>
  <si>
    <t>2365fff64e0050f5cf2191e9f908aed9</t>
  </si>
  <si>
    <t>AllSamples1_30_24-000017</t>
  </si>
  <si>
    <t>AGGGGTGCTCCAGGAGATGTTTAAGGCCGAGTGTCACTTCATTAACGGCACGGAGCGGGTGAGGTTGGTGGTGAGAAACTTCTACAACCGGCTGCAGGACGTGATGTTCGACAGCGATGTGGGGCACTACGTGGGGTTCACCCCGTATGGGGAGATGAATGCCAGGTACTGGAACAGCGACCCGGTGATCATGGAGCGTAGACGGGCTGAGGTGGACACGGTCTGCCGGCACAACTACGGGGTGTACACCCCGTTCAGCGTGGAGCGCC</t>
  </si>
  <si>
    <t>f13423a3ae85e85563d76ac36e1dbcc6</t>
  </si>
  <si>
    <t>AllSamples1_30_24-000127</t>
  </si>
  <si>
    <t>AGGGGTGCTCCAGGAGATGTTTAAGACCGACTGTCACTTCATTAACGGCACGGAGCGGGTGAGGTTCGTGGAGAGGCTGTTCTACAACCGGCAGCTGTACGCGATGTTCGACAGCGATGTGGGGCACTACGTGGGGTTCACCCCGTATGGGGAGAGGAATGCCCAATACAGGAACAGCGACCCGGCGCTCATGGAGTACAAACGGGGTCAAGTGGACAATTACTGCCGGCACAACTACGAGGTGTTCACCCCGTTCAGCGTGGAGCGCC</t>
  </si>
  <si>
    <t>ef8c6e0ffa745da451ce4391d21ba84f</t>
  </si>
  <si>
    <t>AllSamples1_30_24-000062</t>
  </si>
  <si>
    <t>AGGGGTGTTCCAGGAGATGTTTAAGGCCGAGTGTCACTTCATTAACGGCACGGAGCGGGTGAGGTTGGTAGTGAGAAACTTCTACAACCGGCTGCAGGACGTGATGTTCGACAGCGATGTGGGGCACTTCGTGGGGTTCACCCCGTATGGGGAGATGAATGCCAGGTACTGGAACAGCGACCCGGTGATCATGGAGCGTAGACGGGCTGAGGTGGACACGGTCTGCCGGCACAACTACGGGGTGTACACCCCGTTCAGCGTGGAGCGCC</t>
  </si>
  <si>
    <t>a26613820dde04cab8e569765066813f</t>
  </si>
  <si>
    <t>AllSamples1_30_24-000080</t>
  </si>
  <si>
    <t>AGGGGTGTTCCAGAGGATGGGAAAGTCCGAGTGTCACTTCATTAACGGCACGGAGAAGGTGAGGTTGGTGGAGAGGCACTTCTACAACCGGCTGCAGATCCTGATGTTCGACAGCGATGTGGGGCACTTCGTGGGGTTCACCCCGTATGGGGAGAAACAGGCTCGGTACAGGAACAGCCTCCCGGATTTCATGGAGCGCAAACGGGCTGAGGTGGACACGGTCTGCCGGCACAACTACGAGGTGTTCGCCCCGTTCAGCGCGGAGCGCC</t>
  </si>
  <si>
    <t>2ee0bb691af568d631e2630e8f7a9368</t>
  </si>
  <si>
    <t>AllSamples1_30_24-000032</t>
  </si>
  <si>
    <t>ACACAAAAGAGAAACAATAGAAAGGGCTCATGGCTAACAGCTATTTATTTGTTATGATCTCACCCTAAAGATTTTCACGTTAAGGCTTAATGTGGTTTGGTACA</t>
  </si>
  <si>
    <t>605edfa90c525009cc85bf4e568b6119</t>
  </si>
  <si>
    <t>AllSamples1_30_24-000020</t>
  </si>
  <si>
    <t>AGGGGTGTTCCAGAGGAGGATAAAGGTCGTGTCATTTCATTAACGGCACTGAGCAGGTGAGGTTCGTGCAGATGCACAGCTACAACCGGGAGCAGTACACGCACTTCGACAGCGATGTGGGAGTCTGCATCTGGGACACCCCAGATGAGGAGAAACAGGCCTGGTACTGCAACAGCCAGCTGGAAATCCTGGAGTACAGATGGGCTCTGGTGGACATGCACTGCCACTACAACTATGAGATTGTGGCCCGGTTCCTCGTGGGCCGCA</t>
  </si>
  <si>
    <t>d19126d256b4ad3ef02a03c523395e3e</t>
  </si>
  <si>
    <t>AllSamples1_30_24-000165</t>
  </si>
  <si>
    <t>AGGGGTGTTCCAGTTGATGGGAAAGGCCGAGTGTCACTTCATTAACGGCACGGAGCGGGTGAGGTTGGTGGAGAGGCACTTCTACAACCGGCTGCAGATCCTGATGTTCGACAGCGATGTGGGGCACTACGTGGGGTTCACCCCCTTTGGGGAGAAACAGGCTCGGTACAGGAACAGCCTCCCGGATTTCATGGAGCGCAGACGGGCTGCAGTGGACACGGCTTGCCGGCACGACTACGAGGTGGTCACCCCGTTCAGCGTGGAGCGCC</t>
  </si>
  <si>
    <t>f48e21d752965d6f9a4da42ceb039980</t>
  </si>
  <si>
    <t>AllSamples1_30_24-000112</t>
  </si>
  <si>
    <t>AGGGGTGTTCCAGTTGATGGGAAAGGCCGAGTGTCACTTCATTAACGGCACGGAGCGGGTGAGGTTGGTGGAGAGGCACTTCTACAACCGGCTGCAGCACCTGATGTTCGACAGCGATGTGGGGCACTACGTGGGGTTCACCCCCTTTGGGGAGAAACAGGCTCGGTACAGGAACAGCGACCCGGAAAGGATGGAGTACGCACGGACTGCAGTGGACACGTACTGCCGGCACAACTACGAGGTGTTCGCCCCGTTCAGCGTGGAGCGCC</t>
  </si>
  <si>
    <t>cf7225fe05815f8f2aec8e61c6c8ba6b</t>
  </si>
  <si>
    <t>AllSamples1_30_24-000023</t>
  </si>
  <si>
    <t>AGGGGTGTTCCAGGAGATGTTTAAGACCGAGTGTCACTTCATTAACGGCACGGAGCGGGTGAGGTTCGTGGAGAGGCTGTTCTACAACCGGCAGCTGTACGCGATGTTCGACAGCGATGTGGGGCACTACGTGGGGTTCACCCCGTATGGGGAGAGGAATGCCCAATACAGGAACAGCGACCCGGCGCTCATGGAGTACAAACGGGGTCAAGTGGACAATTACTGCCGGCACAACTACGAGGTGTCCACCCCGTTCCTCGTGGAGCGCA</t>
  </si>
  <si>
    <t>d2954dc458af58484f4affc1130aec77</t>
  </si>
  <si>
    <t>AllSamples1_30_24-000050</t>
  </si>
  <si>
    <t>AGGGGTGCTCCAGGAGATGTATAAGGATGAGTGTCACTTCATTAACGGCACGGAGCGGGTGAGGTTGGTGGTGAGGATGTTCTACAACCGGCAGCTGTACGCGATGTTCGACAGCGATGTGGGGCACTACGTGGGGTTCACCCCGTATGGGGAGAAACAGGCTCGGTACAGGAACAGCCTCCCGGATTTCATGGAGAACACACGGACTGCAGTGGACTGGTACTGCCGGAACAACTACGAGGTGTCCACCCCGTTCAGCGTGGAGCGCC</t>
  </si>
  <si>
    <t>bb37f2ca65a17add0b9ef16dfbb5e0af</t>
  </si>
  <si>
    <t>AllSamples1_30_24-000031</t>
  </si>
  <si>
    <t>AGGGGTGTTCCAGGAGATGTATAAGGATGAGTGTCACTTCATTAACGGCACGGAGCGGGTGAAGTTCGTGGTGAGGATGTTCTACAACCGGCAGCTGTACGCGATGTTCGACAGCGATGTGGGGCACTTCGTGGGGTTCACCCCGTATGGGGAGAAACAGGCTCGGTACAGGAACAGCCTCCCGGATTTCATGGAGAACACACGGACTGCAGTGGACTGGTACTGCCGGAACAACTACGAGGTGTCCACCCCGTTCAGCGTGGAGCGCC</t>
  </si>
  <si>
    <t>603edf7ab4bd00b22300a6d7431537b5</t>
  </si>
  <si>
    <t>AllSamples1_30_24-000114</t>
  </si>
  <si>
    <t>AGAGAACGGCTACACCAGCACAGATGAGGAAGTTTCAGAGTTCAGCCTGGCCTCAGATGG</t>
  </si>
  <si>
    <t>f10d568d4636812b32fb4a5a650933b0</t>
  </si>
  <si>
    <t>AllSamples1_30_24-000106</t>
  </si>
  <si>
    <t>AGGGGTGTTCCAGGAGATGTTTAAGACCGACTGTCACTTCATTAACGGCACGGAGCGGGTGAGGTTCGTGGAGAGGCTGTTCTACAACCGGCAGCTGTACGCGATGTTCGACAGCGATGTGGGGCACTACGTGGGGTTCACCCCGTATGGGGAGAGGAATGCCCAATACAGGAACAGCGACCCGGCGCTCATGGAGTACAAACGGGGTCAAGTGGACAATTACTGCCGGCACAACTACGAGGTGTTCAGCGTGGAGCGCC</t>
  </si>
  <si>
    <t>42de0dc46b943a16910c36508b9c58c1</t>
  </si>
  <si>
    <t>AllSamples1_30_24-000148</t>
  </si>
  <si>
    <t>AGGGGTGCTCCAGGAGATGTATAAGGATGAGTGTCACTTCATTAACGGCACGGAGCGGGTGAGGTTGGTGGTGAGGATGTTCTACAACCGGCAGCTGTACGCGATGTTCGACAGCGATGTGGGGCACTTCGTGGGGTTCACCCCGTATGGGGAGAAACAGGCTCGGTACAGGAACAGCCTCCCGGATTTCATGGAGAACACACGGACTGCAGTGGACTGGTACTGCCGGAACAACTACGAGGTGTCCACCCCGTTCAGCGTGGAGCGCC</t>
  </si>
  <si>
    <t>47ea39c13dca483985e9d50bb54b3284</t>
  </si>
  <si>
    <t>AllSamples1_30_24-000132</t>
  </si>
  <si>
    <t>AGGGGTGTTCCAGGAGATGTATAAGGATGAGTGTCAGTTCATTAACGGCACGGAGCGGGTGAGGTTCGTGGTGAGGATGTTCTACAACCGGCAGCTGTACGCGATGTTCGACAGCGATGTGGGGCACTTCGTGGGGTTCACCCCGTATGGGGAGAAACAGGCTCGGTACAGGAACAGCCTCCCGGATTTCATGGAGAACACACGGACTGCAGTGGACTGGTACTGCCGGAACAACTACGAGGTGTCCACCCCGTTCAGCGTGGAGCGCC</t>
  </si>
  <si>
    <t>0b216ca1e73774fa311b5db1592f4170</t>
  </si>
  <si>
    <t>AllSamples1_30_24-000370</t>
  </si>
  <si>
    <t>AGGGGTGCTCCAGCATATGTTTAAATTCGAGTGTTACTTCATTAACGGCACGGAGCGGGTGAGGTTGGTGGTGAGGTACTTCTACAACCGGCTGCAGTACGCGATGTTCGACAGCGATGTGGGGCACTACGTGGGGTTCACCCCCTTTGGGGAGAGGAATGCCAAGCACTGGAACAGCGACCCGGTGATCATGGAGCGCAAACGGGCTGAGGTGGACACGGTTTGCCGGCACAACTACGAGGTGGTCACCCCGTTCAGCGTGGAGCGCA</t>
  </si>
  <si>
    <t>f900a70e79d16e33ca142ea596fee3b2</t>
  </si>
  <si>
    <t>AllSamples1_30_24-000561</t>
  </si>
  <si>
    <t>AGGGGTGTTCCAGGAGATGTATAAGGATGAGTGTCACTTCATTAACGGCACGGAGCGGGTGAGGTTGGTGGAGAGGGTGTTCTACAACCGGCTGCTGTACGCGATGTTCGACAGCGATGTGGGGCACTACGTGGGGTTCACCCCCTTTGGGGAGAAGGTTGCCAGGTACTGGAACAGCGACCCGGATTTCATGGAGCGCAAACGGGCTGAGGTGGACACGGTCTGCCGGCACAACTACGGGGTTGATGCCCCGTTCAGCGTGGAGCGCA</t>
  </si>
  <si>
    <t>dea08bc2bd0199f4c801ef7cdd481f7d</t>
  </si>
  <si>
    <t>AllSamples1_30_24-000089</t>
  </si>
  <si>
    <t>AGGGGTGTTCCAGGAGATGTTTAAGTCCGAGTGTCAGTTCACTAACGGCACGGAGAAGGTGAGGTACATACGGAGGCACTTCTACAACCGGCTGCAGTACACGATGTACGACAGCGATGTGGGGCACTTCGTGGGGTTCACCCCCTTTGGGGAGAAGGTTGCCAGGTACTGGAACAGCCTCCTGGATTTCATGGAGCAAAGACGGACTGCAGTGGACTGGTACTGCCGGCACAACTACGGGGTGTTCACCCCGTTCAGCGTGGAGCGCA</t>
  </si>
  <si>
    <t>8b23b87d9ad210105b0c928d3a3f43f2</t>
  </si>
  <si>
    <t>AllSamples1_30_24-000779</t>
  </si>
  <si>
    <t>ACACACACAAAAGAGAAACAATAGAAAGGGCTCATGGCTAACAGCTATTTATTTGTTATGATCTCACCCTAAAGATTTTCACGTTAAGGCTTAATGTGGTTTGGTACA</t>
  </si>
  <si>
    <t>9ff5659a986d96cb8bb474aa3686a373</t>
  </si>
  <si>
    <t>AllSamples1_30_24-000053</t>
  </si>
  <si>
    <t>AGGGGTGTTCCAGGAGATGTTTAAGGCCGAGTGTCACTTCATTAACGGCACGGAGCGGGTGAGGTTGGTGGAGAGGGTGTTCTACAACCGGCTGCTGTACGCGATGTTCGACAGCGATGTGGGGCACTACGTGGGGTTCACCCCCTTTGGGGAGAAGGTTGCCAGGTACTGGAACAGCGACCCGGATTTCATGGAGCGCAAACGGGCTGAGGTGGACACGGTCTGCCGGCACAACTACGGGGTTGATGCCCCGTTCAGCGTGGAGCGCA</t>
  </si>
  <si>
    <t>f4090883c2e84be12c2c48068a9e0212</t>
  </si>
  <si>
    <t>AllSamples1_30_24-000587</t>
  </si>
  <si>
    <t>AGGGGTGCTCCAGTTTTTCCGGACGGCTGAGTGTCACTTCATTAACGGCACGGAGCGGGTGAGGTTCGTGGACGCGTACTTCTACAACCGGCTGCAGTTTGCGATGTTCGACAGCGATGTGGGGCACTACGTGGGGTTCACCCCCTTTGGGGAGAAACAGGCTCGGTACTGGAACAGCGACCCGGAAGGGATGGAGTACACACGGGGTCAAGTGGACACGGTCTGCCGGCACAACTACGAGGTGTTCGCCCCGTTCAGCGTGGAGCGCC</t>
  </si>
  <si>
    <t>19f25f207e067cf3e92e8203fb7df735</t>
  </si>
  <si>
    <t>AllSamples1_30_24-000170</t>
  </si>
  <si>
    <t>AGGGGTGTTCCAGGAGATGTATAAGGATGAGTGTCACTTCATTAACGGCACGGAGCGGGTGAGGTTGGTGGAGAGGCTGTTCTACAACCGGCTGCTGTACGCGATGTTCGACAGCGATGTGGGGCACTTCGTGGGGTTCACCCCGGATGGGGAGAAACAGGCTCGGTACTGGAACAGCCTCCCGGATTTCATGGAGCGCAAACGGGCTGAGGTGGACACGGTCTGCCGGCACAACTACGAGGGGTTCGCCCCGTTCAGCGCGGAGCGCC</t>
  </si>
  <si>
    <t>1d347d782e45474d366d90b59b8c46c7</t>
  </si>
  <si>
    <t>AllSamples1_30_24-000342</t>
  </si>
  <si>
    <t>ACCTCGCCTATCCACAGTAATGTTCTTAAATCTCCTACGGTTATAACTGCAGAACTTCTCCACTGACGCCCACAAGTAGCTCAGCCACGCCAGCCTGTTCCAATACTCCGCGATCGGCTGACCCAACTCCGTACGGGCCACCGAGAAGCCCAAGTCACTGTCATAGTAACAGATCTCCTGCTGGCCCCAGATCAGTCTTTTCAGATACCTCACCCGCTGTGTGCCGTTGGTGTAGTGACACTCAGACTTCTGCTGCAGCAGGAAATGCTCTGAGAGGAGAGAGGAACAG</t>
  </si>
  <si>
    <t>fc4f032366d1996ace9ba791ba3c59be</t>
  </si>
  <si>
    <t>AllSamples1_30_24-000296</t>
  </si>
  <si>
    <t>AGGGGTGTTCCAGGAGATGTATAAGGATGAGTGTCAGTTCATTAACGGCACGGAGCGGGTGAGGTTGGTGGAGAGGCTGTTCTACAACCGGCAGCTGTACGCGATGTTCGACAGCGATGTGGGGCACTTCGTGGGGTTCACCCCGGATGGGGAGAAACAGGCTCGGTACTGGAACAGCCTCCCGGATTTCATGGAGCGCAAACGGGCTGAGGTGGACACGGTCTGCCGGCACAACTACGAGGGGTTCGCCCCGTTCAGCGCGGAGCGCC</t>
  </si>
  <si>
    <t>668ea9b0b2c460a7eec02ac968d73677</t>
  </si>
  <si>
    <t>AllSamples1_30_24-000441</t>
  </si>
  <si>
    <t>AGGGGTGCTCCAGGAGATGTTTAAGGCCGAGTGTCACTTCATTAACGGCACGGAGCGGGTGAGGTTGGTGGTGAGAAACTTCTACAACCGGCTGCAGGACGTGATGTTCGACAGCGATGTGGGGCACTACGTGGGGTTCACCCCGTATGGGGAGATGAATGCCAGGTACTGGAACAGCGACCCGGTGATCATGGAGCGCAGACGGGCTGAGGTGGACACGGTCTGCCGGCACAACTACGGGGTGTACACCCCGTTCAGCGTGGAGCGCC</t>
  </si>
  <si>
    <t>b69d9d695aedded24bf982fd5a5e2a7f</t>
  </si>
  <si>
    <t>AllSamples1_30_24-000606</t>
  </si>
  <si>
    <t>AGGGGTGTTCCAGAGGATGGGAAAGTCCGAGTGTCACTTCATTAACGGCACGGAGCGGGTGAGGTTGGTGGAGAGGCACTTCTACAACCGGCTGCAGATCCTGATGTTCGACAGCGATGTGGGGCACTTCGTGGGGTTCACCCCGTATGGGGAGAAACAGGCTCGGTACAGGAACAGCCTCCCGGATTTCATGGAGCGCAAACGGGCTGAGGTGGACACGGTCTGCCGGCACAACTACGAGGGGTTCGCCCCGTTCAGCGCGGAGCGCC</t>
  </si>
  <si>
    <t>70a6d1f3a5dc9728d93ca2d2ffe346ed</t>
  </si>
  <si>
    <t>AllSamples1_30_24-000039</t>
  </si>
  <si>
    <t>AGGGGTGTTCCAGAGGATGGGAAAGTACGACTGTCAGTTCATTAACGGCACGGAGCGGGTGAGGTTGGTGGAGAGGCACTTCTACAACCGGCTGCAGATCCTGATGTTCGACAGCGATGTGGGGCACTTCGTGGGGTTCACCCCGTATGGGGAGAAACAGGCTCGGTACAGGAACAGCCTCGCGGATTTCATGGAGCGCAAACGGGCTGAGGTGGACACGGTCTCCCGGCACAACTACGAGATTGATGCCCCGTTCAGCGTGGAGCGCA</t>
  </si>
  <si>
    <t>2fafd216a84c34fcb4f5333c65a37331</t>
  </si>
  <si>
    <t>AllSamples1_30_24-000620</t>
  </si>
  <si>
    <t>AGGGGTGTTCCAGAGGATGGGAAAGTCCGAGTGTCACTTCATTAACGGCACGGAGCGGGTGAGGTTGGTGGAGAGGCTGTTCTACAACCGGCAGCTGTACGCGATGTTCGACAGCGATGTGGGGCACTTCGTGGGGTTCACCCCGTATGGGGAGAAACAGGCTCGGTACAGGAACAGCCTCCCGGATTTCATGGAGCGCAAACGGGCTGAGGTGGACACGGTCTGCCGGCACAACTACGAGGTGTTCGCCCCGTTCAGCGCGGAGCGCC</t>
  </si>
  <si>
    <t>9387442be5bf3ccfb9d8d465eb27156b</t>
  </si>
  <si>
    <t>AllSamples1_30_24-000473</t>
  </si>
  <si>
    <t>AGGGGTGTTCCAGGAGATGGTAAAGTACGACTGTCACTTCATTAACGGCACGGAGCGGGTGAGGTTGGTAGTGAGAAACTTCTACAACCGGCTGCAGGACGTGATGTTCGACAGCGATGTGGGGCACTACGTGGGGTTCACCCCGTATGGGGAGATGAATGCCAGGTACTGGAACAGCGACCCGGTGATCATGGAGCGTAGACGGGCTGAGGTGGACACGGTCTGCCGGCACAACTACGGGGTGTACACCCCGTTCAGCGTGGAGCGCC</t>
  </si>
  <si>
    <t>16483c05404faf0663172940919d240b</t>
  </si>
  <si>
    <t>AllSamples1_30_24-000074</t>
  </si>
  <si>
    <t>AGGGGTGCTCCAGGAGATGTTTAAGACCGACTGTCACTTCATTAACGGCACGGAGCGGGTGAGGTTCGTGGAGAGGCTGTTCTACAACCGGCAGCTGTACGCGATGTTCGACAGCGATGTGGGGCACTACGTGGGGTTCACCCCGTATGGGGAGAGGAATGCCCAATACAGGAACAGCGACCCGGCGCTCATGGAGTACAAACGGGGTCAAGTGGACAATTACTGCCGGCACAACTACGAGGTGTCCACCCCGTTCCTCGTGGAGCGCA</t>
  </si>
  <si>
    <t>a65f855a0ce0f5214c2e30def94a71ec</t>
  </si>
  <si>
    <t>AllSamples1_30_24-000028</t>
  </si>
  <si>
    <t>AGGGGTGTTCCAGGAGATGTTTAAGACCGACTGTCACTTCATTAACGGCACGGAGCGGGTGAGGTTCGTGGAGAGGCTGTTCTACAACCGGCAGCTGTACGCGATGTTCGACAGCGATGTGGGGCACTACGTGGGGTTCACCCCGTATGGGGAGATGAATGCCAGGTACTGGAACAGCGACCCGGTGATCATGGAGCGTAGACGGGCTGAGGTGGACACGGTCTGCCGGCACAACTACGGGGTGTACACCCCGTTCAGCGTGGAGCGCC</t>
  </si>
  <si>
    <t>3a8c4feae015a5db363c81493d1baf7f</t>
  </si>
  <si>
    <t>AllSamples1_30_24-000035</t>
  </si>
  <si>
    <t>AGGGGTGTTCCAGAGGATGGGAAAGTCCGAGTGTCACTTCATTAACGGCACGGAGAAGGTGAGGTTGGTGGAGAGGCACTTCTACAACCGGCTGCAGATCCTGATGTTCGACAGCGATGTGGGGCACTTCGTGGGGTTCACCCCGTATGGGGAGAAACAGGCTTGGTACAGGAACAGCCTCCCGGATTTCATGGAGCGCAAACGGGCTGAGGTGGACACGGTCTGCCGGCACAACTACGAGGGGTTCGCCCCGTTCAGCGCGGAGCGCC</t>
  </si>
  <si>
    <t>7c355399e10af85ad79ff3b5175e6646</t>
  </si>
  <si>
    <t>AllSamples1_30_24-001346</t>
  </si>
  <si>
    <t>ACAAAAGAGAAACAATAGAAAGGGCTCATGGCTAACAGCTATTTATTTGTTATGATCTCACCCTAAAGATTTTCACGTTAAGGCTTAATGTGGTTTGGTACA</t>
  </si>
  <si>
    <t>af3d64f919f87c383943f3df446d63bf</t>
  </si>
  <si>
    <t>AllSamples1_30_24-000038</t>
  </si>
  <si>
    <t>TTCCCCAAGCTCTGAGGCAGCAGATGGAGGGTGGGCATCCTGCTGAGCTGACGAACTGGCCCCTCACTGCTTGAGCCAGTCTCTGGTGCTTAGCAGAGAAATTGGAAGTCCTCAGTGGCATTTACAAATT</t>
  </si>
  <si>
    <t>69baa6a3c23be6339e608a820ab6fa6d</t>
  </si>
  <si>
    <t>AllSamples1_30_24-000027</t>
  </si>
  <si>
    <t>AGGGGTGCTCCAGGAGATGTTTAAGGCCGAGTGTCACTTCATTAACGGCACGGAGCGGGTGAGGTTGGTAGTGAGAAACTTCTACAACCGGCTGCAGGACGTGATGTTCGACAGCGATGTGGGGCACTACGTGGGGTTCACCCCGTATGGGGAGAGGAATGCCCAATACAGGAACAGCGACCCGGCGCTCATGGAGTACAAACGGGGTCAAGTGGACAATTACTGCCGGCACAACTACGAGGTGTCCACCCCGTTCCTCGTGGAGCGCA</t>
  </si>
  <si>
    <t>515b15a47c341cd0084aaf2a0366db8b</t>
  </si>
  <si>
    <t>AllSamples1_30_24-000016</t>
  </si>
  <si>
    <t>AACAGAGCCACCACGGTGCGTGGCGGGGCGTCCTCGGGAATGGAGGCGGTGAGG</t>
  </si>
  <si>
    <t>64d36d8e9995d5990c8bf757a254006e</t>
  </si>
  <si>
    <t>AllSamples1_30_24-000260</t>
  </si>
  <si>
    <t>AGGGGTGTTCCAGAGGATGGGAAAGTCCGAGTGTCACTTCATTAACGGCACGGAGAAGGTGAGGTTGGTGGAGAGGCACTTCTACAACCGGCTGCAGATCCTGATGTTCGACAGCGATGTGGGGCACTACGTGGGGTTCACCCCCTTTGGGGAGAAACAGGCTCGGTACAGGAACAGCGACCCGGAAAGGATGGAGTACGCACGGACTGCAGTGGACACGTTCTGCCGGCACAACTACGAGCTTGATGCCCCGTTCAGCGTGGAGCGCA</t>
  </si>
  <si>
    <t>0228c74008c3e7e3d3bdfe886eee5f75</t>
  </si>
  <si>
    <t>AllSamples1_30_24-000042</t>
  </si>
  <si>
    <t>ACACCAGATAACTTATAATCCACAAAGAGGCTGATGACAAGGAGCAGGGAAGGGTCTTTGTGTTGAGTTCCAAAAGGTAGTTTATTGCCACA</t>
  </si>
  <si>
    <t>c21ff4888e405f2cd56522dd9e966d37</t>
  </si>
  <si>
    <t>AllSamples1_30_24-000098</t>
  </si>
  <si>
    <t>AGGGGTGCTCCAGTTTTTCCGGACGGCTGAGTGTCACTTCATTAACGGCACGGAGCGGGTGAGGTTGGTGGAGAGGCACTTCTACAACCGGCTGCAGATCCTGATGTTCGACAGCGATGTGGGGCACTTCGTGGGGTTCACCCCGTATGGGGAGAAACAGGCTCGGTACAGGAACAGCCTCCCGGATTTCATGGAGCGCAAACGGGCTGAGGTGGACACGGTCTGCCGGCACAACTACGAGGTGTTCGCCCCGTTCAGCGCGGAGCGCC</t>
  </si>
  <si>
    <t>8705fe806b11b6e9ea09b64568799761</t>
  </si>
  <si>
    <t>AllSamples1_30_24-003426</t>
  </si>
  <si>
    <t>AAAAGAGAAACAATAGAAAGGGCTCATGGCTAACAGCTATTTATTTGTTATGATCTCACCCTAAAGATTTTCACGTTAAGGCTTAATGTGGTTTGGTACA</t>
  </si>
  <si>
    <t>3093157205124a5932bf80fd50758978</t>
  </si>
  <si>
    <t>AllSamples1_30_24-000047</t>
  </si>
  <si>
    <t>TGAATTATCCTCTGAAGGCATCTATAGTTCTGGATTTAAAATACATGGGTGTAGCCTGAGTTAGGTAACT</t>
  </si>
  <si>
    <t>83849e001b11690eff3df50adc7cd5a4</t>
  </si>
  <si>
    <t>AllSamples1_30_24-000048</t>
  </si>
  <si>
    <t>TTCCCCAAGCTCTGAGGCAGCAGATGGAGGGTGGGCATCCTGCTGAGCTGAGGAACTGGCCCCTCACTGCTTGAGCCAGTCTCTGGTGCTTAGCAGAGAAATTGGAAGTCCTCAGTGGCATTTACAAATT</t>
  </si>
  <si>
    <t>6185076bae7efb8a69f78d3123613acb</t>
  </si>
  <si>
    <t>AllSamples1_30_24-000049</t>
  </si>
  <si>
    <t>ACCAGCTGCACTCTCAGTGAAGGCAAATAAAGTCAACTCCACCACTGATTTTGT</t>
  </si>
  <si>
    <t>b7736647fedaefd22adbbe85558bf860</t>
  </si>
  <si>
    <t>AllSamples1_30_24-000397</t>
  </si>
  <si>
    <t>GGGGTGTTCCAGGAGATGTTTAAGACCGACTGTCACTTCATTAACGGCACGGAGCGGGTGAGGTTCGTGGAGAGGCTGTTCTACAACCGGCAGCTGTACGCGATGTTCGACAGCGATGTGGGGCACTACGTGGGGTTCACCCCGTATGGGGAGAGGAATGCCCAATACAGGAACAGCGACCCGGCGCTCATGGAGTACAAACGGGGTCAAGTGGACAATTACTGCCGGCACAACTACGAGGTGTTCACCCCGTTCAGCGTGGAGCGCC</t>
  </si>
  <si>
    <t>328c46c60bce38a4f2c361b817657c12</t>
  </si>
  <si>
    <t>AllSamples1_30_24-003300</t>
  </si>
  <si>
    <t>AGGGGTGCTCCAGGAGATGTTTAAGGCCGAGTGTCACTTCATTAACGGCACGGAGCGGGTGAGGTTGGTAGTGAGAAACTTCTACAACCGGCTGCAGGACGTGATGTTCGACAGCGATGTGGGGCACTACGTGGGGTTCACCCCGTATGGGGAGATGAATGCCAGGTACTGGAACAGCGACCCGGTGATCATGGAGCGCAGACGGGCTGAGGTGGACACGGTCTGCCGGCACAACTACGGGGTTGATGCCCCGTTCAGCGTGGAGCGCC</t>
  </si>
  <si>
    <t>ff81c8b407d99557936d2f08fbfe30eb</t>
  </si>
  <si>
    <t>AllSamples1_30_24-000195</t>
  </si>
  <si>
    <t>AGGGGTGCTCCAGGAGATGTTTAAGGCCGAGTGTCACTTCATTAACGGCACGGAGCGGGTGAGGTTGGTAGTGAGAAACTTCTACAACCGGCTGCAGGACGTGATGTTCGACAGCGATGTGGGGCACTACGTGGGGTTCACCCCGTATGGGGAGATGAATGCCAGGTACTGGAACAGCCTCCCGGATTTCATGGAGCGCAAACGGGCTGAGGTGGACACGGTCTGCCGGCACAACTACGAGGTGTTCGCCCCGTTCAGCGCGGAGCGCC</t>
  </si>
  <si>
    <t>684ff085aa392e35bbc8007bd6d3c662</t>
  </si>
  <si>
    <t>AllSamples1_30_24-009200</t>
  </si>
  <si>
    <t>AGGGGTGTTCCAGGAGATGTATAAGGATGAGTGTCACTTCATTAACGGCACGGAGCGGGTGAGGTTGGTGGAGAGGGTGTTCTACAACCGGCTGCTGTACGCGATGTTCGACAGCGATGTGGGGCACTACGTGGGGTTCACCCCCTTTGGGGAGAAGGTTGCCAGGTACTGGAACAGCGACCCGGATTTCATGGAGCGCAAGCGGGCTGAGGTGGACACGGTCTGCCGGCACAACTACGAGGTGTTCGCCCCGTTCAGCGCGGAGCGCC</t>
  </si>
  <si>
    <t>e9005f555cb992de4f1874a1f3cf6345</t>
  </si>
  <si>
    <t>AllSamples1_30_24-035494</t>
  </si>
  <si>
    <t>VALK374</t>
  </si>
  <si>
    <t>VALK375</t>
  </si>
  <si>
    <t>VALK376</t>
  </si>
  <si>
    <t>FOX62_S42</t>
  </si>
  <si>
    <t>FOX63_S43</t>
  </si>
  <si>
    <t>FOX64_S44</t>
  </si>
  <si>
    <t>FOX384</t>
  </si>
  <si>
    <t>FOX385</t>
  </si>
  <si>
    <t>MICCO227_2</t>
  </si>
  <si>
    <t>MICCO239_2</t>
  </si>
  <si>
    <t>MICCO240_2</t>
  </si>
  <si>
    <t>MICCO241_2</t>
  </si>
  <si>
    <t>HCK116</t>
  </si>
  <si>
    <t>HCK117</t>
  </si>
  <si>
    <t>HCK118</t>
  </si>
  <si>
    <t>HCK119</t>
  </si>
  <si>
    <t>HCK120</t>
  </si>
  <si>
    <t>HCK121</t>
  </si>
  <si>
    <t>HCK122</t>
  </si>
  <si>
    <t>HCK123</t>
  </si>
  <si>
    <t>HCK439</t>
  </si>
  <si>
    <t>HCK440</t>
  </si>
  <si>
    <t>HCK441</t>
  </si>
  <si>
    <t>HCK442</t>
  </si>
  <si>
    <t>HCK01_S7</t>
  </si>
  <si>
    <t>HCK02_S8</t>
  </si>
  <si>
    <t>HCK98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</si>
</sst>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I72"/>
  <sheetViews>
    <sheetView tabSelected="1" topLeftCell="A24" workbookViewId="0">
      <selection activeCell="E55" sqref="E55"/>
    </sheetView>
  </sheetViews>
  <sheetFormatPr baseColWidth="10" defaultColWidth="8.83203125" defaultRowHeight="15" x14ac:dyDescent="0.2"/>
  <cols>
    <col min="9" max="9" width="29.83203125" style="1" customWidth="1"/>
    <col min="381" max="381" width="8.83203125" style="2"/>
  </cols>
  <sheetData>
    <row r="1" spans="1:581" x14ac:dyDescent="0.2">
      <c r="I1" s="1" t="s">
        <v>0</v>
      </c>
      <c r="J1">
        <v>157</v>
      </c>
      <c r="K1">
        <v>117</v>
      </c>
      <c r="L1">
        <v>159</v>
      </c>
      <c r="M1">
        <v>222</v>
      </c>
      <c r="N1">
        <v>103</v>
      </c>
      <c r="O1">
        <v>267</v>
      </c>
      <c r="P1">
        <v>103</v>
      </c>
      <c r="Q1">
        <v>214</v>
      </c>
      <c r="R1">
        <v>144</v>
      </c>
      <c r="S1">
        <v>160</v>
      </c>
      <c r="T1">
        <v>134</v>
      </c>
      <c r="U1">
        <v>154</v>
      </c>
      <c r="V1">
        <v>158</v>
      </c>
      <c r="W1">
        <v>112</v>
      </c>
      <c r="X1">
        <v>103</v>
      </c>
      <c r="Y1">
        <v>158</v>
      </c>
      <c r="Z1">
        <v>149</v>
      </c>
      <c r="AA1">
        <v>256</v>
      </c>
      <c r="AB1">
        <v>134</v>
      </c>
      <c r="AC1">
        <v>103</v>
      </c>
      <c r="AD1">
        <v>126</v>
      </c>
      <c r="AE1">
        <v>176</v>
      </c>
      <c r="AF1">
        <v>154</v>
      </c>
      <c r="AG1">
        <v>199</v>
      </c>
      <c r="AH1">
        <v>152</v>
      </c>
      <c r="AI1">
        <v>197</v>
      </c>
      <c r="AJ1">
        <v>107</v>
      </c>
      <c r="AK1">
        <v>230</v>
      </c>
      <c r="AL1">
        <v>339</v>
      </c>
      <c r="AM1">
        <v>160</v>
      </c>
      <c r="AN1">
        <v>268</v>
      </c>
      <c r="AO1">
        <v>101</v>
      </c>
      <c r="AP1">
        <v>107</v>
      </c>
      <c r="AQ1">
        <v>120</v>
      </c>
      <c r="AR1">
        <v>142</v>
      </c>
      <c r="AS1">
        <v>118</v>
      </c>
      <c r="AT1">
        <v>105</v>
      </c>
      <c r="AU1">
        <v>171</v>
      </c>
      <c r="AV1">
        <v>206</v>
      </c>
      <c r="AW1">
        <v>176</v>
      </c>
      <c r="AX1">
        <v>182</v>
      </c>
      <c r="AY1">
        <v>135</v>
      </c>
      <c r="AZ1">
        <v>187</v>
      </c>
      <c r="BA1">
        <v>115</v>
      </c>
      <c r="BB1">
        <v>102</v>
      </c>
      <c r="BC1">
        <v>100</v>
      </c>
      <c r="BD1">
        <v>154</v>
      </c>
      <c r="BE1">
        <v>178</v>
      </c>
      <c r="BF1">
        <v>157</v>
      </c>
      <c r="BG1">
        <v>198</v>
      </c>
      <c r="BH1">
        <v>186</v>
      </c>
      <c r="BI1">
        <v>110</v>
      </c>
      <c r="BJ1">
        <v>148</v>
      </c>
      <c r="BK1">
        <v>123</v>
      </c>
      <c r="BL1">
        <v>119</v>
      </c>
      <c r="BM1">
        <v>130</v>
      </c>
      <c r="BN1">
        <v>181</v>
      </c>
      <c r="BO1">
        <v>160</v>
      </c>
      <c r="BP1">
        <v>144</v>
      </c>
      <c r="BQ1">
        <v>141</v>
      </c>
      <c r="BR1">
        <v>345</v>
      </c>
      <c r="BS1">
        <v>153</v>
      </c>
      <c r="BT1">
        <v>179</v>
      </c>
      <c r="BU1">
        <v>162</v>
      </c>
      <c r="BV1">
        <v>150</v>
      </c>
      <c r="BW1">
        <v>135</v>
      </c>
      <c r="BX1">
        <v>146</v>
      </c>
      <c r="BY1">
        <v>104</v>
      </c>
      <c r="BZ1">
        <v>132</v>
      </c>
      <c r="CA1">
        <v>101</v>
      </c>
      <c r="CB1">
        <v>310</v>
      </c>
      <c r="CC1">
        <v>106</v>
      </c>
      <c r="CD1">
        <v>164</v>
      </c>
      <c r="CE1">
        <v>201</v>
      </c>
      <c r="CF1">
        <v>146</v>
      </c>
      <c r="CG1">
        <v>148</v>
      </c>
      <c r="CH1">
        <v>143</v>
      </c>
      <c r="CI1">
        <v>138</v>
      </c>
      <c r="CJ1">
        <v>128</v>
      </c>
      <c r="CK1">
        <v>179</v>
      </c>
      <c r="CL1">
        <v>153</v>
      </c>
      <c r="CM1">
        <v>197</v>
      </c>
      <c r="CN1">
        <v>140</v>
      </c>
      <c r="CO1">
        <v>121</v>
      </c>
      <c r="CP1">
        <v>132</v>
      </c>
      <c r="CQ1">
        <v>203</v>
      </c>
      <c r="CR1">
        <v>162</v>
      </c>
      <c r="CS1">
        <v>168</v>
      </c>
      <c r="CT1">
        <v>146</v>
      </c>
      <c r="CU1">
        <v>163</v>
      </c>
      <c r="CV1">
        <v>137</v>
      </c>
      <c r="CW1">
        <v>161</v>
      </c>
      <c r="CX1">
        <v>170</v>
      </c>
      <c r="CY1">
        <v>171</v>
      </c>
      <c r="CZ1">
        <v>160</v>
      </c>
      <c r="DA1">
        <v>130</v>
      </c>
      <c r="DB1">
        <v>204</v>
      </c>
      <c r="DC1">
        <v>172</v>
      </c>
      <c r="DD1">
        <v>252</v>
      </c>
      <c r="DE1">
        <v>134</v>
      </c>
      <c r="DF1">
        <v>163</v>
      </c>
      <c r="DG1">
        <v>140</v>
      </c>
      <c r="DH1">
        <v>5000</v>
      </c>
      <c r="DI1">
        <v>5000</v>
      </c>
      <c r="DJ1">
        <v>137</v>
      </c>
      <c r="DK1">
        <v>5000</v>
      </c>
      <c r="DL1">
        <v>5000</v>
      </c>
      <c r="DM1">
        <v>5000</v>
      </c>
      <c r="DN1">
        <v>5000</v>
      </c>
      <c r="DO1">
        <v>5000</v>
      </c>
      <c r="DP1">
        <v>5000</v>
      </c>
      <c r="DQ1">
        <v>5000</v>
      </c>
      <c r="DR1">
        <v>5000</v>
      </c>
      <c r="DS1">
        <v>5000</v>
      </c>
      <c r="DT1">
        <v>935</v>
      </c>
      <c r="DU1">
        <v>5000</v>
      </c>
      <c r="DV1">
        <v>5000</v>
      </c>
      <c r="DW1">
        <v>5000</v>
      </c>
      <c r="DX1">
        <v>5000</v>
      </c>
      <c r="DY1">
        <v>5000</v>
      </c>
      <c r="DZ1">
        <v>5000</v>
      </c>
      <c r="EA1">
        <v>5000</v>
      </c>
      <c r="EB1">
        <v>5000</v>
      </c>
      <c r="EC1">
        <v>5000</v>
      </c>
      <c r="ED1">
        <v>5000</v>
      </c>
      <c r="EE1">
        <v>5000</v>
      </c>
      <c r="EF1">
        <v>5000</v>
      </c>
      <c r="EG1">
        <v>4885</v>
      </c>
      <c r="EH1">
        <v>5000</v>
      </c>
      <c r="EI1">
        <v>4336</v>
      </c>
      <c r="EJ1">
        <v>5000</v>
      </c>
      <c r="EK1">
        <v>5000</v>
      </c>
      <c r="EL1">
        <v>5000</v>
      </c>
      <c r="EM1">
        <v>5000</v>
      </c>
      <c r="EN1">
        <v>166</v>
      </c>
      <c r="EO1">
        <v>5000</v>
      </c>
      <c r="EP1">
        <v>5000</v>
      </c>
      <c r="EQ1">
        <v>5000</v>
      </c>
      <c r="ER1">
        <v>5000</v>
      </c>
      <c r="ES1">
        <v>5000</v>
      </c>
      <c r="ET1">
        <v>5000</v>
      </c>
      <c r="EU1">
        <v>5000</v>
      </c>
      <c r="EV1">
        <v>5000</v>
      </c>
      <c r="EW1">
        <v>5000</v>
      </c>
      <c r="EX1">
        <v>5000</v>
      </c>
      <c r="EY1">
        <v>5000</v>
      </c>
      <c r="EZ1">
        <v>5000</v>
      </c>
      <c r="FA1">
        <v>5000</v>
      </c>
      <c r="FB1">
        <v>5000</v>
      </c>
      <c r="FC1">
        <v>5000</v>
      </c>
      <c r="FD1">
        <v>5000</v>
      </c>
      <c r="FE1">
        <v>5000</v>
      </c>
      <c r="FF1">
        <v>164</v>
      </c>
      <c r="FG1">
        <v>5000</v>
      </c>
      <c r="FH1">
        <v>5000</v>
      </c>
      <c r="FI1">
        <v>5000</v>
      </c>
      <c r="FJ1">
        <v>5000</v>
      </c>
      <c r="FK1">
        <v>5000</v>
      </c>
      <c r="FL1">
        <v>5000</v>
      </c>
      <c r="FM1">
        <v>5000</v>
      </c>
      <c r="FN1">
        <v>5000</v>
      </c>
      <c r="FO1">
        <v>5000</v>
      </c>
      <c r="FP1">
        <v>5000</v>
      </c>
      <c r="FQ1">
        <v>5000</v>
      </c>
      <c r="FR1">
        <v>5000</v>
      </c>
      <c r="FS1">
        <v>251</v>
      </c>
      <c r="FT1">
        <v>2768</v>
      </c>
      <c r="FU1">
        <v>5000</v>
      </c>
      <c r="FV1">
        <v>2661</v>
      </c>
      <c r="FW1">
        <v>531</v>
      </c>
      <c r="FX1">
        <v>803</v>
      </c>
      <c r="FY1">
        <v>163</v>
      </c>
      <c r="FZ1">
        <v>869</v>
      </c>
      <c r="GA1">
        <v>1259</v>
      </c>
      <c r="GB1">
        <v>1305</v>
      </c>
      <c r="GC1">
        <v>840</v>
      </c>
      <c r="GD1">
        <v>944</v>
      </c>
      <c r="GE1">
        <v>881</v>
      </c>
      <c r="GF1">
        <v>2889</v>
      </c>
      <c r="GG1">
        <v>587</v>
      </c>
      <c r="GH1">
        <v>1289</v>
      </c>
      <c r="GI1">
        <v>1992</v>
      </c>
      <c r="GJ1">
        <v>1061</v>
      </c>
      <c r="GK1">
        <v>1749</v>
      </c>
      <c r="GL1">
        <v>1020</v>
      </c>
      <c r="GM1">
        <v>1502</v>
      </c>
      <c r="GN1">
        <v>968</v>
      </c>
      <c r="GO1">
        <v>755</v>
      </c>
      <c r="GP1">
        <v>141</v>
      </c>
      <c r="GQ1">
        <v>1943</v>
      </c>
      <c r="GR1">
        <v>2301</v>
      </c>
      <c r="GS1">
        <v>1126</v>
      </c>
      <c r="GT1">
        <v>852</v>
      </c>
      <c r="GU1">
        <v>2959</v>
      </c>
      <c r="GV1">
        <v>3563</v>
      </c>
      <c r="GW1">
        <v>4390</v>
      </c>
      <c r="GX1">
        <v>4319</v>
      </c>
      <c r="GY1">
        <v>2345</v>
      </c>
      <c r="GZ1">
        <v>2219</v>
      </c>
      <c r="HA1">
        <v>1702</v>
      </c>
      <c r="HB1">
        <v>5000</v>
      </c>
      <c r="HC1">
        <v>5000</v>
      </c>
      <c r="HD1">
        <v>5000</v>
      </c>
      <c r="HE1">
        <v>5000</v>
      </c>
      <c r="HF1">
        <v>5000</v>
      </c>
      <c r="HG1">
        <v>5000</v>
      </c>
      <c r="HH1">
        <v>5000</v>
      </c>
      <c r="HI1">
        <v>5000</v>
      </c>
      <c r="HJ1">
        <v>5000</v>
      </c>
      <c r="HK1">
        <v>4891</v>
      </c>
      <c r="HL1">
        <v>5000</v>
      </c>
      <c r="HM1">
        <v>5000</v>
      </c>
      <c r="HN1">
        <v>5000</v>
      </c>
      <c r="HO1">
        <v>858</v>
      </c>
      <c r="HP1">
        <v>1178</v>
      </c>
      <c r="HQ1">
        <v>5000</v>
      </c>
      <c r="HR1">
        <v>4625</v>
      </c>
      <c r="HS1">
        <v>1432</v>
      </c>
      <c r="HT1">
        <v>1880</v>
      </c>
      <c r="HU1">
        <v>1120</v>
      </c>
      <c r="HV1">
        <v>1846</v>
      </c>
      <c r="HW1">
        <v>1430</v>
      </c>
      <c r="HX1">
        <v>1263</v>
      </c>
      <c r="HY1">
        <v>2544</v>
      </c>
      <c r="HZ1">
        <v>1514</v>
      </c>
      <c r="IA1">
        <v>1620</v>
      </c>
      <c r="IB1">
        <v>766</v>
      </c>
      <c r="IC1">
        <v>476</v>
      </c>
      <c r="ID1">
        <v>838</v>
      </c>
      <c r="IE1">
        <v>726</v>
      </c>
      <c r="IF1">
        <v>1571</v>
      </c>
      <c r="IG1">
        <v>1456</v>
      </c>
      <c r="IH1">
        <v>1566</v>
      </c>
      <c r="II1">
        <v>3098</v>
      </c>
      <c r="IJ1">
        <v>2538</v>
      </c>
      <c r="IK1">
        <v>2280</v>
      </c>
      <c r="IL1">
        <v>2346</v>
      </c>
      <c r="IM1">
        <v>1375</v>
      </c>
      <c r="IN1">
        <v>1220</v>
      </c>
      <c r="IO1">
        <v>3590</v>
      </c>
      <c r="IP1">
        <v>2856</v>
      </c>
      <c r="IQ1">
        <v>3053</v>
      </c>
      <c r="IR1">
        <v>2220</v>
      </c>
      <c r="IS1">
        <v>1417</v>
      </c>
      <c r="IT1">
        <v>2103</v>
      </c>
      <c r="IU1">
        <v>2742</v>
      </c>
      <c r="IV1">
        <v>2552</v>
      </c>
      <c r="IW1">
        <v>232</v>
      </c>
      <c r="IX1">
        <v>438</v>
      </c>
      <c r="IY1">
        <v>138</v>
      </c>
      <c r="IZ1">
        <v>4536</v>
      </c>
      <c r="JA1">
        <v>5000</v>
      </c>
      <c r="JB1">
        <v>5000</v>
      </c>
      <c r="JC1">
        <v>5000</v>
      </c>
      <c r="JD1">
        <v>5000</v>
      </c>
      <c r="JE1">
        <v>5000</v>
      </c>
      <c r="JF1">
        <v>5000</v>
      </c>
      <c r="JG1">
        <v>939</v>
      </c>
      <c r="JH1">
        <v>3489</v>
      </c>
      <c r="JI1">
        <v>163</v>
      </c>
      <c r="JJ1">
        <v>2689</v>
      </c>
      <c r="JK1">
        <v>807</v>
      </c>
      <c r="JL1">
        <v>105</v>
      </c>
      <c r="JM1">
        <v>141</v>
      </c>
      <c r="JN1">
        <v>167</v>
      </c>
      <c r="JO1">
        <v>3465</v>
      </c>
      <c r="JP1">
        <v>2127</v>
      </c>
      <c r="JQ1">
        <v>5000</v>
      </c>
      <c r="JR1">
        <v>5000</v>
      </c>
      <c r="JS1">
        <v>1794</v>
      </c>
      <c r="JT1">
        <v>2946</v>
      </c>
      <c r="JU1">
        <v>3917</v>
      </c>
      <c r="JV1">
        <v>3237</v>
      </c>
      <c r="JW1">
        <v>1196</v>
      </c>
      <c r="JX1">
        <v>2014</v>
      </c>
      <c r="JY1">
        <v>1308</v>
      </c>
      <c r="JZ1">
        <v>286</v>
      </c>
      <c r="KA1">
        <v>2403</v>
      </c>
      <c r="KB1">
        <v>1953</v>
      </c>
      <c r="KC1">
        <v>2005</v>
      </c>
      <c r="KD1">
        <v>2230</v>
      </c>
      <c r="KE1">
        <v>5000</v>
      </c>
      <c r="KF1">
        <v>5000</v>
      </c>
      <c r="KG1">
        <v>1853</v>
      </c>
      <c r="KH1">
        <v>5000</v>
      </c>
      <c r="KI1">
        <v>1677</v>
      </c>
      <c r="KJ1">
        <v>976</v>
      </c>
      <c r="KK1">
        <v>4449</v>
      </c>
      <c r="KL1">
        <v>5000</v>
      </c>
      <c r="KM1">
        <v>1429</v>
      </c>
      <c r="KN1">
        <v>4522</v>
      </c>
      <c r="KO1">
        <v>2183</v>
      </c>
      <c r="KP1">
        <v>1758</v>
      </c>
      <c r="KQ1">
        <v>1032</v>
      </c>
      <c r="KR1">
        <v>492</v>
      </c>
      <c r="KS1">
        <v>759</v>
      </c>
      <c r="KT1">
        <v>1048</v>
      </c>
      <c r="KU1">
        <v>739</v>
      </c>
      <c r="KV1">
        <v>228</v>
      </c>
      <c r="KW1">
        <v>3933</v>
      </c>
      <c r="KX1">
        <v>1225</v>
      </c>
      <c r="KY1">
        <v>813</v>
      </c>
      <c r="KZ1">
        <v>1415</v>
      </c>
      <c r="LA1">
        <v>823</v>
      </c>
      <c r="LB1">
        <v>2200</v>
      </c>
      <c r="LC1">
        <v>127</v>
      </c>
      <c r="LD1">
        <v>1174</v>
      </c>
      <c r="LE1">
        <v>1941</v>
      </c>
      <c r="LF1">
        <v>3970</v>
      </c>
      <c r="LG1">
        <v>4506</v>
      </c>
      <c r="LH1">
        <v>3532</v>
      </c>
      <c r="LI1">
        <v>1586</v>
      </c>
      <c r="LJ1">
        <v>5000</v>
      </c>
      <c r="LK1">
        <v>3859</v>
      </c>
      <c r="LL1">
        <v>3392</v>
      </c>
      <c r="LM1">
        <v>3802</v>
      </c>
      <c r="LN1">
        <v>219</v>
      </c>
      <c r="LO1">
        <v>3768</v>
      </c>
      <c r="LP1">
        <v>4929</v>
      </c>
      <c r="LQ1">
        <v>3442</v>
      </c>
      <c r="LR1">
        <v>3893</v>
      </c>
      <c r="LS1">
        <v>1902</v>
      </c>
      <c r="LT1">
        <v>3156</v>
      </c>
      <c r="LU1">
        <v>2593</v>
      </c>
      <c r="LV1">
        <v>3830</v>
      </c>
      <c r="LW1">
        <v>5000</v>
      </c>
      <c r="LX1">
        <v>2314</v>
      </c>
      <c r="LY1">
        <v>620</v>
      </c>
      <c r="LZ1">
        <v>136</v>
      </c>
      <c r="MA1">
        <v>195</v>
      </c>
      <c r="MB1">
        <v>2547</v>
      </c>
      <c r="MC1">
        <v>2986</v>
      </c>
      <c r="MD1">
        <v>5000</v>
      </c>
      <c r="ME1">
        <v>5000</v>
      </c>
      <c r="MF1">
        <v>1466</v>
      </c>
      <c r="MG1">
        <v>5000</v>
      </c>
      <c r="MH1">
        <v>5000</v>
      </c>
      <c r="MI1">
        <v>3155</v>
      </c>
      <c r="MJ1">
        <v>3478</v>
      </c>
      <c r="MK1">
        <v>5000</v>
      </c>
      <c r="ML1">
        <v>4254</v>
      </c>
      <c r="MM1">
        <v>3555</v>
      </c>
      <c r="MN1">
        <v>2257</v>
      </c>
      <c r="MO1">
        <v>1355</v>
      </c>
      <c r="MP1">
        <v>1911</v>
      </c>
      <c r="MQ1">
        <v>182</v>
      </c>
      <c r="MR1">
        <v>4126</v>
      </c>
      <c r="MS1">
        <v>451</v>
      </c>
      <c r="MT1">
        <v>185</v>
      </c>
      <c r="MU1">
        <v>1573</v>
      </c>
      <c r="MV1">
        <v>1067</v>
      </c>
      <c r="MW1">
        <v>863</v>
      </c>
      <c r="MX1">
        <v>1536</v>
      </c>
      <c r="MY1">
        <v>911</v>
      </c>
      <c r="MZ1">
        <v>572</v>
      </c>
      <c r="NA1">
        <v>735</v>
      </c>
      <c r="NB1">
        <v>544</v>
      </c>
      <c r="NC1">
        <v>2290</v>
      </c>
      <c r="ND1">
        <v>1108</v>
      </c>
      <c r="NE1">
        <v>1251</v>
      </c>
      <c r="NF1">
        <v>624</v>
      </c>
      <c r="NG1">
        <v>1236</v>
      </c>
      <c r="NH1">
        <v>922</v>
      </c>
      <c r="NI1">
        <v>301</v>
      </c>
      <c r="NJ1">
        <v>467</v>
      </c>
      <c r="NK1">
        <v>1918</v>
      </c>
      <c r="NL1">
        <v>726</v>
      </c>
      <c r="NM1">
        <v>3353</v>
      </c>
      <c r="NN1">
        <v>5000</v>
      </c>
      <c r="NO1">
        <v>3485</v>
      </c>
      <c r="NP1">
        <v>2331</v>
      </c>
      <c r="NQ1" s="2">
        <v>2266</v>
      </c>
      <c r="NR1">
        <v>696</v>
      </c>
      <c r="NS1">
        <v>600</v>
      </c>
      <c r="NT1">
        <v>3296</v>
      </c>
      <c r="NU1">
        <v>2938</v>
      </c>
      <c r="NV1">
        <v>5000</v>
      </c>
      <c r="NW1">
        <v>2338</v>
      </c>
      <c r="NX1">
        <v>2054</v>
      </c>
      <c r="NY1">
        <v>5000</v>
      </c>
      <c r="NZ1">
        <v>5000</v>
      </c>
      <c r="OA1">
        <v>4146</v>
      </c>
      <c r="OB1">
        <v>4533</v>
      </c>
      <c r="OC1">
        <v>921</v>
      </c>
      <c r="OD1">
        <v>5000</v>
      </c>
      <c r="OE1">
        <v>5000</v>
      </c>
      <c r="OF1">
        <v>4454</v>
      </c>
      <c r="OG1">
        <v>5000</v>
      </c>
      <c r="OH1">
        <v>5000</v>
      </c>
      <c r="OI1">
        <v>5000</v>
      </c>
      <c r="OJ1">
        <v>5000</v>
      </c>
      <c r="OK1">
        <v>5000</v>
      </c>
      <c r="OL1">
        <v>2563</v>
      </c>
      <c r="OM1">
        <v>1134</v>
      </c>
      <c r="ON1">
        <v>5000</v>
      </c>
      <c r="OO1">
        <v>5000</v>
      </c>
      <c r="OP1">
        <v>3158</v>
      </c>
      <c r="OQ1">
        <v>4220</v>
      </c>
      <c r="OR1">
        <v>5000</v>
      </c>
      <c r="OS1">
        <v>4411</v>
      </c>
      <c r="OT1">
        <v>5000</v>
      </c>
      <c r="OU1">
        <v>4992</v>
      </c>
      <c r="OV1">
        <v>3698</v>
      </c>
      <c r="OW1">
        <v>2341</v>
      </c>
      <c r="OX1">
        <v>1834</v>
      </c>
      <c r="OY1">
        <v>1962</v>
      </c>
      <c r="OZ1">
        <v>1835</v>
      </c>
      <c r="PA1">
        <v>834</v>
      </c>
      <c r="PB1">
        <v>1367</v>
      </c>
      <c r="PC1">
        <v>1372</v>
      </c>
      <c r="PD1">
        <v>2332</v>
      </c>
      <c r="PE1">
        <v>1347</v>
      </c>
      <c r="PF1">
        <v>1433</v>
      </c>
      <c r="PG1">
        <v>1341</v>
      </c>
      <c r="PH1">
        <v>3687</v>
      </c>
      <c r="PI1">
        <v>5000</v>
      </c>
      <c r="PJ1">
        <v>3557</v>
      </c>
      <c r="PK1">
        <v>3102</v>
      </c>
      <c r="PL1">
        <v>2990</v>
      </c>
      <c r="PM1">
        <v>3140</v>
      </c>
      <c r="PN1">
        <v>1717</v>
      </c>
      <c r="PO1">
        <v>2894</v>
      </c>
      <c r="PP1">
        <v>936</v>
      </c>
      <c r="PQ1">
        <v>2784</v>
      </c>
      <c r="PR1">
        <v>1192</v>
      </c>
      <c r="PS1">
        <v>5000</v>
      </c>
      <c r="PT1">
        <v>120</v>
      </c>
      <c r="PU1">
        <v>3134</v>
      </c>
      <c r="PV1">
        <v>2982</v>
      </c>
      <c r="PW1">
        <v>2065</v>
      </c>
      <c r="PX1">
        <v>114</v>
      </c>
      <c r="PY1">
        <v>100</v>
      </c>
      <c r="PZ1">
        <v>4806</v>
      </c>
      <c r="QA1">
        <v>5000</v>
      </c>
      <c r="QB1">
        <v>937</v>
      </c>
      <c r="QC1">
        <v>127</v>
      </c>
      <c r="QD1">
        <v>3501</v>
      </c>
      <c r="QE1">
        <v>4616</v>
      </c>
      <c r="QF1">
        <v>2861</v>
      </c>
      <c r="QG1">
        <v>283</v>
      </c>
      <c r="QH1">
        <v>562</v>
      </c>
      <c r="QI1">
        <v>947</v>
      </c>
      <c r="QJ1">
        <v>1222</v>
      </c>
      <c r="QK1">
        <v>291</v>
      </c>
      <c r="QL1">
        <v>1045</v>
      </c>
      <c r="QM1">
        <v>1993</v>
      </c>
      <c r="QN1">
        <v>1270</v>
      </c>
      <c r="QO1">
        <v>2661</v>
      </c>
      <c r="QP1">
        <v>1630</v>
      </c>
      <c r="QQ1">
        <v>786</v>
      </c>
      <c r="QR1">
        <v>1633</v>
      </c>
      <c r="QS1">
        <v>1025</v>
      </c>
      <c r="QT1">
        <v>1294</v>
      </c>
      <c r="QU1">
        <v>391</v>
      </c>
      <c r="QV1">
        <v>594</v>
      </c>
      <c r="QW1">
        <v>270</v>
      </c>
      <c r="QX1">
        <v>1238</v>
      </c>
      <c r="QY1">
        <v>1286</v>
      </c>
      <c r="QZ1">
        <v>679</v>
      </c>
      <c r="RA1">
        <v>5000</v>
      </c>
      <c r="RB1">
        <v>350</v>
      </c>
      <c r="RC1">
        <v>2772</v>
      </c>
      <c r="RD1">
        <v>1067</v>
      </c>
      <c r="RE1">
        <v>5000</v>
      </c>
      <c r="RF1">
        <v>2553</v>
      </c>
      <c r="RG1">
        <v>1692</v>
      </c>
      <c r="RH1">
        <v>2657</v>
      </c>
      <c r="RI1">
        <v>2873</v>
      </c>
      <c r="RJ1">
        <v>362</v>
      </c>
      <c r="RK1">
        <v>1180</v>
      </c>
      <c r="RL1">
        <v>730</v>
      </c>
      <c r="RM1">
        <v>1318</v>
      </c>
      <c r="RN1">
        <v>846</v>
      </c>
      <c r="RO1">
        <v>2010</v>
      </c>
      <c r="RP1">
        <v>2351</v>
      </c>
      <c r="RQ1">
        <v>1479</v>
      </c>
      <c r="RR1">
        <v>904</v>
      </c>
      <c r="RS1">
        <v>5000</v>
      </c>
      <c r="RT1">
        <v>3858</v>
      </c>
      <c r="RU1">
        <v>2936</v>
      </c>
      <c r="RV1">
        <v>5000</v>
      </c>
      <c r="RW1">
        <v>5000</v>
      </c>
      <c r="RX1">
        <v>5000</v>
      </c>
      <c r="RY1">
        <v>215</v>
      </c>
      <c r="RZ1">
        <v>208</v>
      </c>
      <c r="SA1">
        <v>3565</v>
      </c>
      <c r="SB1">
        <v>101</v>
      </c>
      <c r="SC1">
        <v>2525</v>
      </c>
      <c r="SD1">
        <v>537</v>
      </c>
      <c r="SE1">
        <v>3955</v>
      </c>
      <c r="SF1">
        <v>276</v>
      </c>
      <c r="SG1">
        <v>1444</v>
      </c>
      <c r="SH1">
        <v>1228</v>
      </c>
      <c r="SI1">
        <v>5000</v>
      </c>
      <c r="SJ1">
        <v>410</v>
      </c>
      <c r="SK1">
        <v>3714</v>
      </c>
      <c r="SL1">
        <v>545</v>
      </c>
      <c r="SM1">
        <v>1147</v>
      </c>
      <c r="SN1">
        <v>653</v>
      </c>
      <c r="SO1">
        <v>3977</v>
      </c>
      <c r="SP1">
        <v>5000</v>
      </c>
      <c r="SQ1">
        <v>1880</v>
      </c>
      <c r="SR1">
        <v>131</v>
      </c>
      <c r="SS1">
        <v>1885</v>
      </c>
      <c r="ST1">
        <v>2503</v>
      </c>
      <c r="SU1">
        <v>144</v>
      </c>
      <c r="SV1">
        <v>2661</v>
      </c>
      <c r="SW1">
        <v>700</v>
      </c>
      <c r="SX1">
        <v>170</v>
      </c>
      <c r="SY1">
        <v>2269</v>
      </c>
      <c r="SZ1">
        <v>996</v>
      </c>
      <c r="TA1">
        <v>996</v>
      </c>
      <c r="TB1">
        <v>275</v>
      </c>
      <c r="TC1">
        <v>3081</v>
      </c>
      <c r="TD1">
        <v>4176</v>
      </c>
      <c r="TE1">
        <v>5000</v>
      </c>
      <c r="TF1">
        <v>2983</v>
      </c>
      <c r="TG1">
        <v>1547</v>
      </c>
      <c r="TH1">
        <v>4897</v>
      </c>
      <c r="TI1">
        <v>2443</v>
      </c>
      <c r="TJ1">
        <v>1751</v>
      </c>
      <c r="TK1">
        <v>4043</v>
      </c>
      <c r="TL1">
        <v>1840</v>
      </c>
      <c r="TM1">
        <v>1089</v>
      </c>
      <c r="TN1">
        <v>1188</v>
      </c>
      <c r="TO1">
        <v>1166</v>
      </c>
      <c r="TP1">
        <v>590</v>
      </c>
      <c r="TQ1">
        <v>1368</v>
      </c>
      <c r="TR1">
        <v>5000</v>
      </c>
      <c r="TS1">
        <v>5000</v>
      </c>
      <c r="TT1">
        <v>5000</v>
      </c>
      <c r="TU1">
        <v>5000</v>
      </c>
      <c r="TV1">
        <v>5000</v>
      </c>
      <c r="TW1">
        <v>4834</v>
      </c>
      <c r="TX1">
        <v>5000</v>
      </c>
      <c r="TY1">
        <v>243</v>
      </c>
      <c r="TZ1">
        <v>5000</v>
      </c>
      <c r="UA1">
        <v>5000</v>
      </c>
      <c r="UB1">
        <v>5000</v>
      </c>
      <c r="UC1">
        <v>5000</v>
      </c>
      <c r="UD1">
        <v>5000</v>
      </c>
      <c r="UE1">
        <v>5000</v>
      </c>
      <c r="UF1">
        <v>5000</v>
      </c>
      <c r="UG1">
        <v>5000</v>
      </c>
      <c r="UH1">
        <v>5000</v>
      </c>
      <c r="UI1">
        <v>5000</v>
      </c>
      <c r="UJ1">
        <v>5000</v>
      </c>
      <c r="UK1">
        <v>5000</v>
      </c>
      <c r="UL1">
        <v>5000</v>
      </c>
      <c r="UM1">
        <v>5000</v>
      </c>
      <c r="UN1">
        <v>5000</v>
      </c>
      <c r="UO1">
        <v>5000</v>
      </c>
      <c r="UP1">
        <v>5000</v>
      </c>
      <c r="UQ1">
        <v>5000</v>
      </c>
      <c r="UR1">
        <v>2655</v>
      </c>
      <c r="US1">
        <v>2050</v>
      </c>
      <c r="UT1">
        <v>115</v>
      </c>
      <c r="UU1">
        <v>1595</v>
      </c>
      <c r="UV1">
        <v>1902</v>
      </c>
      <c r="UW1">
        <v>5000</v>
      </c>
      <c r="UX1">
        <v>1279</v>
      </c>
      <c r="UY1">
        <v>244</v>
      </c>
      <c r="UZ1">
        <v>397</v>
      </c>
      <c r="VA1">
        <v>282</v>
      </c>
      <c r="VB1">
        <v>655</v>
      </c>
      <c r="VC1">
        <v>940</v>
      </c>
      <c r="VD1">
        <v>2661</v>
      </c>
      <c r="VE1">
        <v>4039</v>
      </c>
      <c r="VF1">
        <v>3421</v>
      </c>
      <c r="VG1">
        <v>2131</v>
      </c>
      <c r="VH1">
        <v>1682</v>
      </c>
      <c r="VI1">
        <v>1004</v>
      </c>
    </row>
    <row r="2" spans="1:581" x14ac:dyDescent="0.2">
      <c r="I2" s="1" t="s">
        <v>1</v>
      </c>
      <c r="J2">
        <f t="shared" ref="J2:BU2" si="0">SUM(J5:J72)</f>
        <v>55</v>
      </c>
      <c r="K2">
        <f t="shared" si="0"/>
        <v>55</v>
      </c>
      <c r="L2">
        <f t="shared" si="0"/>
        <v>72</v>
      </c>
      <c r="M2">
        <f t="shared" si="0"/>
        <v>102</v>
      </c>
      <c r="N2">
        <f t="shared" si="0"/>
        <v>47</v>
      </c>
      <c r="O2">
        <f t="shared" si="0"/>
        <v>115</v>
      </c>
      <c r="P2">
        <f t="shared" si="0"/>
        <v>43</v>
      </c>
      <c r="Q2">
        <f t="shared" si="0"/>
        <v>74</v>
      </c>
      <c r="R2">
        <f t="shared" si="0"/>
        <v>68</v>
      </c>
      <c r="S2">
        <f t="shared" si="0"/>
        <v>68</v>
      </c>
      <c r="T2">
        <f t="shared" si="0"/>
        <v>51</v>
      </c>
      <c r="U2">
        <f t="shared" si="0"/>
        <v>41</v>
      </c>
      <c r="V2">
        <f t="shared" si="0"/>
        <v>79</v>
      </c>
      <c r="W2">
        <f t="shared" si="0"/>
        <v>37</v>
      </c>
      <c r="X2">
        <f t="shared" si="0"/>
        <v>40</v>
      </c>
      <c r="Y2">
        <f t="shared" si="0"/>
        <v>69</v>
      </c>
      <c r="Z2">
        <f t="shared" si="0"/>
        <v>56</v>
      </c>
      <c r="AA2">
        <f t="shared" si="0"/>
        <v>129</v>
      </c>
      <c r="AB2">
        <f t="shared" si="0"/>
        <v>63</v>
      </c>
      <c r="AC2">
        <f t="shared" si="0"/>
        <v>34</v>
      </c>
      <c r="AD2">
        <f t="shared" si="0"/>
        <v>51</v>
      </c>
      <c r="AE2">
        <f t="shared" si="0"/>
        <v>58</v>
      </c>
      <c r="AF2">
        <f t="shared" si="0"/>
        <v>59</v>
      </c>
      <c r="AG2">
        <f t="shared" si="0"/>
        <v>96</v>
      </c>
      <c r="AH2">
        <f t="shared" si="0"/>
        <v>62</v>
      </c>
      <c r="AI2">
        <f t="shared" si="0"/>
        <v>78</v>
      </c>
      <c r="AJ2">
        <f t="shared" si="0"/>
        <v>46</v>
      </c>
      <c r="AK2">
        <f t="shared" si="0"/>
        <v>83</v>
      </c>
      <c r="AL2">
        <f t="shared" si="0"/>
        <v>159</v>
      </c>
      <c r="AM2">
        <f t="shared" si="0"/>
        <v>91</v>
      </c>
      <c r="AN2">
        <f t="shared" si="0"/>
        <v>159</v>
      </c>
      <c r="AO2">
        <f t="shared" si="0"/>
        <v>53</v>
      </c>
      <c r="AP2">
        <f t="shared" si="0"/>
        <v>44</v>
      </c>
      <c r="AQ2">
        <f t="shared" si="0"/>
        <v>36</v>
      </c>
      <c r="AR2">
        <f t="shared" si="0"/>
        <v>51</v>
      </c>
      <c r="AS2">
        <f t="shared" si="0"/>
        <v>52</v>
      </c>
      <c r="AT2">
        <f t="shared" si="0"/>
        <v>50</v>
      </c>
      <c r="AU2">
        <f t="shared" si="0"/>
        <v>55</v>
      </c>
      <c r="AV2">
        <f t="shared" si="0"/>
        <v>71</v>
      </c>
      <c r="AW2">
        <f t="shared" si="0"/>
        <v>55</v>
      </c>
      <c r="AX2">
        <f t="shared" si="0"/>
        <v>70</v>
      </c>
      <c r="AY2">
        <f t="shared" si="0"/>
        <v>63</v>
      </c>
      <c r="AZ2">
        <f t="shared" si="0"/>
        <v>75</v>
      </c>
      <c r="BA2">
        <f t="shared" si="0"/>
        <v>45</v>
      </c>
      <c r="BB2">
        <f t="shared" si="0"/>
        <v>44</v>
      </c>
      <c r="BC2">
        <f t="shared" si="0"/>
        <v>39</v>
      </c>
      <c r="BD2">
        <f t="shared" si="0"/>
        <v>91</v>
      </c>
      <c r="BE2">
        <f t="shared" si="0"/>
        <v>81</v>
      </c>
      <c r="BF2">
        <f t="shared" si="0"/>
        <v>38</v>
      </c>
      <c r="BG2">
        <f t="shared" si="0"/>
        <v>81</v>
      </c>
      <c r="BH2">
        <f t="shared" si="0"/>
        <v>93</v>
      </c>
      <c r="BI2">
        <f t="shared" si="0"/>
        <v>30</v>
      </c>
      <c r="BJ2">
        <f t="shared" si="0"/>
        <v>57</v>
      </c>
      <c r="BK2">
        <f t="shared" si="0"/>
        <v>33</v>
      </c>
      <c r="BL2">
        <f t="shared" si="0"/>
        <v>38</v>
      </c>
      <c r="BM2">
        <f t="shared" si="0"/>
        <v>56</v>
      </c>
      <c r="BN2">
        <f t="shared" si="0"/>
        <v>87</v>
      </c>
      <c r="BO2">
        <f t="shared" si="0"/>
        <v>50</v>
      </c>
      <c r="BP2">
        <f t="shared" si="0"/>
        <v>75</v>
      </c>
      <c r="BQ2">
        <f t="shared" si="0"/>
        <v>59</v>
      </c>
      <c r="BR2">
        <f t="shared" si="0"/>
        <v>136</v>
      </c>
      <c r="BS2">
        <f t="shared" si="0"/>
        <v>61</v>
      </c>
      <c r="BT2">
        <f t="shared" si="0"/>
        <v>53</v>
      </c>
      <c r="BU2">
        <f t="shared" si="0"/>
        <v>80</v>
      </c>
      <c r="BV2">
        <f t="shared" ref="BV2:EG2" si="1">SUM(BV5:BV72)</f>
        <v>52</v>
      </c>
      <c r="BW2">
        <f t="shared" si="1"/>
        <v>57</v>
      </c>
      <c r="BX2">
        <f t="shared" si="1"/>
        <v>67</v>
      </c>
      <c r="BY2">
        <f t="shared" si="1"/>
        <v>32</v>
      </c>
      <c r="BZ2">
        <f t="shared" si="1"/>
        <v>65</v>
      </c>
      <c r="CA2">
        <f t="shared" si="1"/>
        <v>39</v>
      </c>
      <c r="CB2">
        <f t="shared" si="1"/>
        <v>156</v>
      </c>
      <c r="CC2">
        <f t="shared" si="1"/>
        <v>36</v>
      </c>
      <c r="CD2">
        <f t="shared" si="1"/>
        <v>47</v>
      </c>
      <c r="CE2">
        <f t="shared" si="1"/>
        <v>94</v>
      </c>
      <c r="CF2">
        <f t="shared" si="1"/>
        <v>62</v>
      </c>
      <c r="CG2">
        <f t="shared" si="1"/>
        <v>59</v>
      </c>
      <c r="CH2">
        <f t="shared" si="1"/>
        <v>79</v>
      </c>
      <c r="CI2">
        <f t="shared" si="1"/>
        <v>42</v>
      </c>
      <c r="CJ2">
        <f t="shared" si="1"/>
        <v>35</v>
      </c>
      <c r="CK2">
        <f t="shared" si="1"/>
        <v>60</v>
      </c>
      <c r="CL2">
        <f t="shared" si="1"/>
        <v>55</v>
      </c>
      <c r="CM2">
        <f t="shared" si="1"/>
        <v>83</v>
      </c>
      <c r="CN2">
        <f t="shared" si="1"/>
        <v>68</v>
      </c>
      <c r="CO2">
        <f t="shared" si="1"/>
        <v>34</v>
      </c>
      <c r="CP2">
        <f t="shared" si="1"/>
        <v>49</v>
      </c>
      <c r="CQ2">
        <f t="shared" si="1"/>
        <v>101</v>
      </c>
      <c r="CR2">
        <f t="shared" si="1"/>
        <v>93</v>
      </c>
      <c r="CS2">
        <f t="shared" si="1"/>
        <v>66</v>
      </c>
      <c r="CT2">
        <f t="shared" si="1"/>
        <v>55</v>
      </c>
      <c r="CU2">
        <f t="shared" si="1"/>
        <v>80</v>
      </c>
      <c r="CV2">
        <f t="shared" si="1"/>
        <v>50</v>
      </c>
      <c r="CW2">
        <f t="shared" si="1"/>
        <v>81</v>
      </c>
      <c r="CX2">
        <f t="shared" si="1"/>
        <v>71</v>
      </c>
      <c r="CY2">
        <f t="shared" si="1"/>
        <v>48</v>
      </c>
      <c r="CZ2">
        <f t="shared" si="1"/>
        <v>64</v>
      </c>
      <c r="DA2">
        <f t="shared" si="1"/>
        <v>62</v>
      </c>
      <c r="DB2">
        <f t="shared" si="1"/>
        <v>51</v>
      </c>
      <c r="DC2">
        <f t="shared" si="1"/>
        <v>42</v>
      </c>
      <c r="DD2">
        <f t="shared" si="1"/>
        <v>103</v>
      </c>
      <c r="DE2">
        <f t="shared" si="1"/>
        <v>42</v>
      </c>
      <c r="DF2">
        <f t="shared" si="1"/>
        <v>72</v>
      </c>
      <c r="DG2">
        <f t="shared" si="1"/>
        <v>74</v>
      </c>
      <c r="DH2">
        <f t="shared" si="1"/>
        <v>2205</v>
      </c>
      <c r="DI2">
        <f t="shared" si="1"/>
        <v>2890</v>
      </c>
      <c r="DJ2">
        <f t="shared" si="1"/>
        <v>67</v>
      </c>
      <c r="DK2">
        <f t="shared" si="1"/>
        <v>2229</v>
      </c>
      <c r="DL2">
        <f t="shared" si="1"/>
        <v>2496</v>
      </c>
      <c r="DM2">
        <f t="shared" si="1"/>
        <v>2651</v>
      </c>
      <c r="DN2">
        <f t="shared" si="1"/>
        <v>2357</v>
      </c>
      <c r="DO2">
        <f t="shared" si="1"/>
        <v>2627</v>
      </c>
      <c r="DP2">
        <f t="shared" si="1"/>
        <v>2848</v>
      </c>
      <c r="DQ2">
        <f t="shared" si="1"/>
        <v>1515</v>
      </c>
      <c r="DR2">
        <f t="shared" si="1"/>
        <v>2204</v>
      </c>
      <c r="DS2">
        <f t="shared" si="1"/>
        <v>2075</v>
      </c>
      <c r="DT2">
        <f t="shared" si="1"/>
        <v>314</v>
      </c>
      <c r="DU2">
        <f t="shared" si="1"/>
        <v>2391</v>
      </c>
      <c r="DV2">
        <f t="shared" si="1"/>
        <v>2501</v>
      </c>
      <c r="DW2">
        <f t="shared" si="1"/>
        <v>2604</v>
      </c>
      <c r="DX2">
        <f t="shared" si="1"/>
        <v>2658</v>
      </c>
      <c r="DY2">
        <f t="shared" si="1"/>
        <v>1507</v>
      </c>
      <c r="DZ2">
        <f t="shared" si="1"/>
        <v>2531</v>
      </c>
      <c r="EA2">
        <f t="shared" si="1"/>
        <v>2220</v>
      </c>
      <c r="EB2">
        <f t="shared" si="1"/>
        <v>2492</v>
      </c>
      <c r="EC2">
        <f t="shared" si="1"/>
        <v>2067</v>
      </c>
      <c r="ED2">
        <f t="shared" si="1"/>
        <v>1568</v>
      </c>
      <c r="EE2">
        <f t="shared" si="1"/>
        <v>2383</v>
      </c>
      <c r="EF2">
        <f t="shared" si="1"/>
        <v>2168</v>
      </c>
      <c r="EG2">
        <f t="shared" si="1"/>
        <v>1225</v>
      </c>
      <c r="EH2">
        <f t="shared" ref="EH2:GS2" si="2">SUM(EH5:EH72)</f>
        <v>1782</v>
      </c>
      <c r="EI2">
        <f t="shared" si="2"/>
        <v>2021</v>
      </c>
      <c r="EJ2">
        <f t="shared" si="2"/>
        <v>2520</v>
      </c>
      <c r="EK2">
        <f t="shared" si="2"/>
        <v>2234</v>
      </c>
      <c r="EL2">
        <f t="shared" si="2"/>
        <v>1986</v>
      </c>
      <c r="EM2">
        <f t="shared" si="2"/>
        <v>1614</v>
      </c>
      <c r="EN2">
        <f t="shared" si="2"/>
        <v>35</v>
      </c>
      <c r="EO2">
        <f t="shared" si="2"/>
        <v>2553</v>
      </c>
      <c r="EP2">
        <f t="shared" si="2"/>
        <v>2177</v>
      </c>
      <c r="EQ2">
        <f t="shared" si="2"/>
        <v>2907</v>
      </c>
      <c r="ER2">
        <f t="shared" si="2"/>
        <v>2601</v>
      </c>
      <c r="ES2">
        <f t="shared" si="2"/>
        <v>2399</v>
      </c>
      <c r="ET2">
        <f t="shared" si="2"/>
        <v>2495</v>
      </c>
      <c r="EU2">
        <f t="shared" si="2"/>
        <v>2407</v>
      </c>
      <c r="EV2">
        <f t="shared" si="2"/>
        <v>1905</v>
      </c>
      <c r="EW2">
        <f t="shared" si="2"/>
        <v>1953</v>
      </c>
      <c r="EX2">
        <f t="shared" si="2"/>
        <v>1575</v>
      </c>
      <c r="EY2">
        <f t="shared" si="2"/>
        <v>2191</v>
      </c>
      <c r="EZ2">
        <f t="shared" si="2"/>
        <v>3104</v>
      </c>
      <c r="FA2">
        <f t="shared" si="2"/>
        <v>2776</v>
      </c>
      <c r="FB2">
        <f t="shared" si="2"/>
        <v>1775</v>
      </c>
      <c r="FC2">
        <f t="shared" si="2"/>
        <v>2366</v>
      </c>
      <c r="FD2">
        <f t="shared" si="2"/>
        <v>1885</v>
      </c>
      <c r="FE2">
        <f t="shared" si="2"/>
        <v>2137</v>
      </c>
      <c r="FF2">
        <f t="shared" si="2"/>
        <v>47</v>
      </c>
      <c r="FG2">
        <f t="shared" si="2"/>
        <v>1954</v>
      </c>
      <c r="FH2">
        <f t="shared" si="2"/>
        <v>2971</v>
      </c>
      <c r="FI2">
        <f t="shared" si="2"/>
        <v>2311</v>
      </c>
      <c r="FJ2">
        <f t="shared" si="2"/>
        <v>2543</v>
      </c>
      <c r="FK2">
        <f t="shared" si="2"/>
        <v>2757</v>
      </c>
      <c r="FL2">
        <f t="shared" si="2"/>
        <v>2842</v>
      </c>
      <c r="FM2">
        <f t="shared" si="2"/>
        <v>2993</v>
      </c>
      <c r="FN2">
        <f t="shared" si="2"/>
        <v>2476</v>
      </c>
      <c r="FO2">
        <f t="shared" si="2"/>
        <v>2527</v>
      </c>
      <c r="FP2">
        <f t="shared" si="2"/>
        <v>2670</v>
      </c>
      <c r="FQ2">
        <f t="shared" si="2"/>
        <v>2534</v>
      </c>
      <c r="FR2">
        <f t="shared" si="2"/>
        <v>2785</v>
      </c>
      <c r="FS2">
        <f t="shared" si="2"/>
        <v>123</v>
      </c>
      <c r="FT2">
        <f t="shared" si="2"/>
        <v>1300</v>
      </c>
      <c r="FU2">
        <f t="shared" si="2"/>
        <v>1855</v>
      </c>
      <c r="FV2">
        <f t="shared" si="2"/>
        <v>1551</v>
      </c>
      <c r="FW2">
        <f t="shared" si="2"/>
        <v>218</v>
      </c>
      <c r="FX2">
        <f t="shared" si="2"/>
        <v>368</v>
      </c>
      <c r="FY2">
        <f t="shared" si="2"/>
        <v>26</v>
      </c>
      <c r="FZ2">
        <f t="shared" si="2"/>
        <v>311</v>
      </c>
      <c r="GA2">
        <f t="shared" si="2"/>
        <v>403</v>
      </c>
      <c r="GB2">
        <f t="shared" si="2"/>
        <v>396</v>
      </c>
      <c r="GC2">
        <f t="shared" si="2"/>
        <v>376</v>
      </c>
      <c r="GD2">
        <f t="shared" si="2"/>
        <v>433</v>
      </c>
      <c r="GE2">
        <f t="shared" si="2"/>
        <v>65</v>
      </c>
      <c r="GF2">
        <f t="shared" si="2"/>
        <v>1415</v>
      </c>
      <c r="GG2">
        <f t="shared" si="2"/>
        <v>188</v>
      </c>
      <c r="GH2">
        <f t="shared" si="2"/>
        <v>465</v>
      </c>
      <c r="GI2">
        <f t="shared" si="2"/>
        <v>881</v>
      </c>
      <c r="GJ2">
        <f t="shared" si="2"/>
        <v>513</v>
      </c>
      <c r="GK2">
        <f t="shared" si="2"/>
        <v>304</v>
      </c>
      <c r="GL2">
        <f t="shared" si="2"/>
        <v>39</v>
      </c>
      <c r="GM2">
        <f t="shared" si="2"/>
        <v>197</v>
      </c>
      <c r="GN2">
        <f t="shared" si="2"/>
        <v>184</v>
      </c>
      <c r="GO2">
        <f t="shared" si="2"/>
        <v>222</v>
      </c>
      <c r="GP2">
        <f t="shared" si="2"/>
        <v>13</v>
      </c>
      <c r="GQ2">
        <f t="shared" si="2"/>
        <v>403</v>
      </c>
      <c r="GR2">
        <f t="shared" si="2"/>
        <v>577</v>
      </c>
      <c r="GS2">
        <f t="shared" si="2"/>
        <v>269</v>
      </c>
      <c r="GT2">
        <f t="shared" ref="GT2:JE2" si="3">SUM(GT5:GT72)</f>
        <v>290</v>
      </c>
      <c r="GU2">
        <f t="shared" si="3"/>
        <v>768</v>
      </c>
      <c r="GV2">
        <f t="shared" si="3"/>
        <v>1475</v>
      </c>
      <c r="GW2">
        <f t="shared" si="3"/>
        <v>1468</v>
      </c>
      <c r="GX2">
        <f t="shared" si="3"/>
        <v>2657</v>
      </c>
      <c r="GY2">
        <f t="shared" si="3"/>
        <v>532</v>
      </c>
      <c r="GZ2">
        <f t="shared" si="3"/>
        <v>756</v>
      </c>
      <c r="HA2">
        <f t="shared" si="3"/>
        <v>693</v>
      </c>
      <c r="HB2">
        <f t="shared" si="3"/>
        <v>1666</v>
      </c>
      <c r="HC2">
        <f t="shared" si="3"/>
        <v>1026</v>
      </c>
      <c r="HD2">
        <f t="shared" si="3"/>
        <v>1538</v>
      </c>
      <c r="HE2">
        <f t="shared" si="3"/>
        <v>1426</v>
      </c>
      <c r="HF2">
        <f t="shared" si="3"/>
        <v>2152</v>
      </c>
      <c r="HG2">
        <f t="shared" si="3"/>
        <v>949</v>
      </c>
      <c r="HH2">
        <f t="shared" si="3"/>
        <v>1729</v>
      </c>
      <c r="HI2">
        <f t="shared" si="3"/>
        <v>1560</v>
      </c>
      <c r="HJ2">
        <f t="shared" si="3"/>
        <v>2330</v>
      </c>
      <c r="HK2">
        <f t="shared" si="3"/>
        <v>1901</v>
      </c>
      <c r="HL2">
        <f t="shared" si="3"/>
        <v>1148</v>
      </c>
      <c r="HM2">
        <f t="shared" si="3"/>
        <v>1286</v>
      </c>
      <c r="HN2">
        <f t="shared" si="3"/>
        <v>1074</v>
      </c>
      <c r="HO2">
        <f t="shared" si="3"/>
        <v>223</v>
      </c>
      <c r="HP2">
        <f t="shared" si="3"/>
        <v>173</v>
      </c>
      <c r="HQ2">
        <f t="shared" si="3"/>
        <v>1419</v>
      </c>
      <c r="HR2">
        <f t="shared" si="3"/>
        <v>2298</v>
      </c>
      <c r="HS2">
        <f t="shared" si="3"/>
        <v>226</v>
      </c>
      <c r="HT2">
        <f t="shared" si="3"/>
        <v>743</v>
      </c>
      <c r="HU2">
        <f t="shared" si="3"/>
        <v>100</v>
      </c>
      <c r="HV2">
        <f t="shared" si="3"/>
        <v>312</v>
      </c>
      <c r="HW2">
        <f t="shared" si="3"/>
        <v>255</v>
      </c>
      <c r="HX2">
        <f t="shared" si="3"/>
        <v>139</v>
      </c>
      <c r="HY2">
        <f t="shared" si="3"/>
        <v>443</v>
      </c>
      <c r="HZ2">
        <f t="shared" si="3"/>
        <v>118</v>
      </c>
      <c r="IA2">
        <f t="shared" si="3"/>
        <v>286</v>
      </c>
      <c r="IB2">
        <f t="shared" si="3"/>
        <v>111</v>
      </c>
      <c r="IC2">
        <f t="shared" si="3"/>
        <v>84</v>
      </c>
      <c r="ID2">
        <f t="shared" si="3"/>
        <v>105</v>
      </c>
      <c r="IE2">
        <f t="shared" si="3"/>
        <v>81</v>
      </c>
      <c r="IF2">
        <f t="shared" si="3"/>
        <v>1038</v>
      </c>
      <c r="IG2">
        <f t="shared" si="3"/>
        <v>830</v>
      </c>
      <c r="IH2">
        <f t="shared" si="3"/>
        <v>938</v>
      </c>
      <c r="II2">
        <f t="shared" si="3"/>
        <v>497</v>
      </c>
      <c r="IJ2">
        <f t="shared" si="3"/>
        <v>1351</v>
      </c>
      <c r="IK2">
        <f t="shared" si="3"/>
        <v>1205</v>
      </c>
      <c r="IL2">
        <f t="shared" si="3"/>
        <v>1044</v>
      </c>
      <c r="IM2">
        <f t="shared" si="3"/>
        <v>759</v>
      </c>
      <c r="IN2">
        <f t="shared" si="3"/>
        <v>803</v>
      </c>
      <c r="IO2">
        <f t="shared" si="3"/>
        <v>1844</v>
      </c>
      <c r="IP2">
        <f t="shared" si="3"/>
        <v>1440</v>
      </c>
      <c r="IQ2">
        <f t="shared" si="3"/>
        <v>1030</v>
      </c>
      <c r="IR2">
        <f t="shared" si="3"/>
        <v>960</v>
      </c>
      <c r="IS2">
        <f t="shared" si="3"/>
        <v>609</v>
      </c>
      <c r="IT2">
        <f t="shared" si="3"/>
        <v>513</v>
      </c>
      <c r="IU2">
        <f t="shared" si="3"/>
        <v>1059</v>
      </c>
      <c r="IV2">
        <f t="shared" si="3"/>
        <v>499</v>
      </c>
      <c r="IW2">
        <f t="shared" si="3"/>
        <v>113</v>
      </c>
      <c r="IX2">
        <f t="shared" si="3"/>
        <v>197</v>
      </c>
      <c r="IY2">
        <f t="shared" si="3"/>
        <v>58</v>
      </c>
      <c r="IZ2">
        <f t="shared" si="3"/>
        <v>1853</v>
      </c>
      <c r="JA2">
        <f t="shared" si="3"/>
        <v>2321</v>
      </c>
      <c r="JB2">
        <f t="shared" si="3"/>
        <v>1755</v>
      </c>
      <c r="JC2">
        <f t="shared" si="3"/>
        <v>2259</v>
      </c>
      <c r="JD2">
        <f t="shared" si="3"/>
        <v>2059</v>
      </c>
      <c r="JE2">
        <f t="shared" si="3"/>
        <v>2276</v>
      </c>
      <c r="JF2">
        <f t="shared" ref="JF2:LQ2" si="4">SUM(JF5:JF72)</f>
        <v>2523</v>
      </c>
      <c r="JG2">
        <f t="shared" si="4"/>
        <v>45</v>
      </c>
      <c r="JH2">
        <f t="shared" si="4"/>
        <v>1614</v>
      </c>
      <c r="JI2">
        <f t="shared" si="4"/>
        <v>83</v>
      </c>
      <c r="JJ2">
        <f t="shared" si="4"/>
        <v>1337</v>
      </c>
      <c r="JK2">
        <f t="shared" si="4"/>
        <v>34</v>
      </c>
      <c r="JL2">
        <f t="shared" si="4"/>
        <v>58</v>
      </c>
      <c r="JM2">
        <f t="shared" si="4"/>
        <v>85</v>
      </c>
      <c r="JN2">
        <f t="shared" si="4"/>
        <v>50</v>
      </c>
      <c r="JO2">
        <f t="shared" si="4"/>
        <v>1365</v>
      </c>
      <c r="JP2">
        <f t="shared" si="4"/>
        <v>413</v>
      </c>
      <c r="JQ2">
        <f t="shared" si="4"/>
        <v>1465</v>
      </c>
      <c r="JR2">
        <f t="shared" si="4"/>
        <v>2801</v>
      </c>
      <c r="JS2">
        <f t="shared" si="4"/>
        <v>794</v>
      </c>
      <c r="JT2">
        <f t="shared" si="4"/>
        <v>969</v>
      </c>
      <c r="JU2">
        <f t="shared" si="4"/>
        <v>1050</v>
      </c>
      <c r="JV2">
        <f t="shared" si="4"/>
        <v>1078</v>
      </c>
      <c r="JW2">
        <f t="shared" si="4"/>
        <v>305</v>
      </c>
      <c r="JX2">
        <f t="shared" si="4"/>
        <v>937</v>
      </c>
      <c r="JY2">
        <f t="shared" si="4"/>
        <v>535</v>
      </c>
      <c r="JZ2">
        <f t="shared" si="4"/>
        <v>103</v>
      </c>
      <c r="KA2">
        <f t="shared" si="4"/>
        <v>452</v>
      </c>
      <c r="KB2">
        <f t="shared" si="4"/>
        <v>616</v>
      </c>
      <c r="KC2">
        <f t="shared" si="4"/>
        <v>670</v>
      </c>
      <c r="KD2">
        <f t="shared" si="4"/>
        <v>860</v>
      </c>
      <c r="KE2">
        <f t="shared" si="4"/>
        <v>2100</v>
      </c>
      <c r="KF2">
        <f t="shared" si="4"/>
        <v>2169</v>
      </c>
      <c r="KG2">
        <f t="shared" si="4"/>
        <v>1233</v>
      </c>
      <c r="KH2">
        <f t="shared" si="4"/>
        <v>3140</v>
      </c>
      <c r="KI2">
        <f t="shared" si="4"/>
        <v>879</v>
      </c>
      <c r="KJ2">
        <f t="shared" si="4"/>
        <v>354</v>
      </c>
      <c r="KK2">
        <f t="shared" si="4"/>
        <v>1672</v>
      </c>
      <c r="KL2">
        <f t="shared" si="4"/>
        <v>1533</v>
      </c>
      <c r="KM2">
        <f t="shared" si="4"/>
        <v>531</v>
      </c>
      <c r="KN2">
        <f t="shared" si="4"/>
        <v>1848</v>
      </c>
      <c r="KO2">
        <f t="shared" si="4"/>
        <v>819</v>
      </c>
      <c r="KP2">
        <f t="shared" si="4"/>
        <v>910</v>
      </c>
      <c r="KQ2">
        <f t="shared" si="4"/>
        <v>462</v>
      </c>
      <c r="KR2">
        <f t="shared" si="4"/>
        <v>79</v>
      </c>
      <c r="KS2">
        <f t="shared" si="4"/>
        <v>103</v>
      </c>
      <c r="KT2">
        <f t="shared" si="4"/>
        <v>190</v>
      </c>
      <c r="KU2">
        <f t="shared" si="4"/>
        <v>156</v>
      </c>
      <c r="KV2">
        <f t="shared" si="4"/>
        <v>41</v>
      </c>
      <c r="KW2">
        <f t="shared" si="4"/>
        <v>883</v>
      </c>
      <c r="KX2">
        <f t="shared" si="4"/>
        <v>215</v>
      </c>
      <c r="KY2">
        <f t="shared" si="4"/>
        <v>159</v>
      </c>
      <c r="KZ2">
        <f t="shared" si="4"/>
        <v>158</v>
      </c>
      <c r="LA2">
        <f t="shared" si="4"/>
        <v>114</v>
      </c>
      <c r="LB2">
        <f t="shared" si="4"/>
        <v>343</v>
      </c>
      <c r="LC2">
        <f t="shared" si="4"/>
        <v>66</v>
      </c>
      <c r="LD2">
        <f t="shared" si="4"/>
        <v>524</v>
      </c>
      <c r="LE2">
        <f t="shared" si="4"/>
        <v>284</v>
      </c>
      <c r="LF2">
        <f t="shared" si="4"/>
        <v>1318</v>
      </c>
      <c r="LG2">
        <f t="shared" si="4"/>
        <v>1279</v>
      </c>
      <c r="LH2">
        <f t="shared" si="4"/>
        <v>994</v>
      </c>
      <c r="LI2">
        <f t="shared" si="4"/>
        <v>580</v>
      </c>
      <c r="LJ2">
        <f t="shared" si="4"/>
        <v>1486</v>
      </c>
      <c r="LK2">
        <f t="shared" si="4"/>
        <v>980</v>
      </c>
      <c r="LL2">
        <f t="shared" si="4"/>
        <v>962</v>
      </c>
      <c r="LM2">
        <f t="shared" si="4"/>
        <v>1218</v>
      </c>
      <c r="LN2">
        <f t="shared" si="4"/>
        <v>82</v>
      </c>
      <c r="LO2">
        <f t="shared" si="4"/>
        <v>2071</v>
      </c>
      <c r="LP2">
        <f t="shared" si="4"/>
        <v>1978</v>
      </c>
      <c r="LQ2">
        <f t="shared" si="4"/>
        <v>1899</v>
      </c>
      <c r="LR2">
        <f t="shared" ref="LR2:OC2" si="5">SUM(LR5:LR72)</f>
        <v>2004</v>
      </c>
      <c r="LS2">
        <f t="shared" si="5"/>
        <v>755</v>
      </c>
      <c r="LT2">
        <f t="shared" si="5"/>
        <v>1542</v>
      </c>
      <c r="LU2">
        <f t="shared" si="5"/>
        <v>1010</v>
      </c>
      <c r="LV2">
        <f t="shared" si="5"/>
        <v>1201</v>
      </c>
      <c r="LW2">
        <f t="shared" si="5"/>
        <v>1900</v>
      </c>
      <c r="LX2">
        <f t="shared" si="5"/>
        <v>1170</v>
      </c>
      <c r="LY2">
        <f t="shared" si="5"/>
        <v>205</v>
      </c>
      <c r="LZ2">
        <f t="shared" si="5"/>
        <v>83</v>
      </c>
      <c r="MA2">
        <f t="shared" si="5"/>
        <v>119</v>
      </c>
      <c r="MB2">
        <f t="shared" si="5"/>
        <v>491</v>
      </c>
      <c r="MC2">
        <f t="shared" si="5"/>
        <v>462</v>
      </c>
      <c r="MD2">
        <f t="shared" si="5"/>
        <v>2100</v>
      </c>
      <c r="ME2">
        <f t="shared" si="5"/>
        <v>2254</v>
      </c>
      <c r="MF2">
        <f t="shared" si="5"/>
        <v>757</v>
      </c>
      <c r="MG2">
        <f t="shared" si="5"/>
        <v>2177</v>
      </c>
      <c r="MH2">
        <f t="shared" si="5"/>
        <v>1514</v>
      </c>
      <c r="MI2">
        <f t="shared" si="5"/>
        <v>1071</v>
      </c>
      <c r="MJ2">
        <f t="shared" si="5"/>
        <v>1088</v>
      </c>
      <c r="MK2">
        <f t="shared" si="5"/>
        <v>2080</v>
      </c>
      <c r="ML2">
        <f t="shared" si="5"/>
        <v>1955</v>
      </c>
      <c r="MM2">
        <f t="shared" si="5"/>
        <v>1501</v>
      </c>
      <c r="MN2">
        <f t="shared" si="5"/>
        <v>650</v>
      </c>
      <c r="MO2">
        <f t="shared" si="5"/>
        <v>451</v>
      </c>
      <c r="MP2">
        <f t="shared" si="5"/>
        <v>784</v>
      </c>
      <c r="MQ2">
        <f t="shared" si="5"/>
        <v>111</v>
      </c>
      <c r="MR2">
        <f t="shared" si="5"/>
        <v>1259</v>
      </c>
      <c r="MS2">
        <f t="shared" si="5"/>
        <v>204</v>
      </c>
      <c r="MT2">
        <f t="shared" si="5"/>
        <v>70</v>
      </c>
      <c r="MU2">
        <f t="shared" si="5"/>
        <v>867</v>
      </c>
      <c r="MV2">
        <f t="shared" si="5"/>
        <v>470</v>
      </c>
      <c r="MW2">
        <f t="shared" si="5"/>
        <v>96</v>
      </c>
      <c r="MX2">
        <f t="shared" si="5"/>
        <v>185</v>
      </c>
      <c r="MY2">
        <f t="shared" si="5"/>
        <v>154</v>
      </c>
      <c r="MZ2">
        <f t="shared" si="5"/>
        <v>86</v>
      </c>
      <c r="NA2">
        <f t="shared" si="5"/>
        <v>93</v>
      </c>
      <c r="NB2">
        <f t="shared" si="5"/>
        <v>26</v>
      </c>
      <c r="NC2">
        <f t="shared" si="5"/>
        <v>268</v>
      </c>
      <c r="ND2">
        <f t="shared" si="5"/>
        <v>119</v>
      </c>
      <c r="NE2">
        <f t="shared" si="5"/>
        <v>209</v>
      </c>
      <c r="NF2">
        <f t="shared" si="5"/>
        <v>148</v>
      </c>
      <c r="NG2">
        <f t="shared" si="5"/>
        <v>890</v>
      </c>
      <c r="NH2">
        <f t="shared" si="5"/>
        <v>302</v>
      </c>
      <c r="NI2">
        <f t="shared" si="5"/>
        <v>150</v>
      </c>
      <c r="NJ2">
        <f t="shared" si="5"/>
        <v>18</v>
      </c>
      <c r="NK2">
        <f t="shared" si="5"/>
        <v>470</v>
      </c>
      <c r="NL2">
        <f t="shared" si="5"/>
        <v>29</v>
      </c>
      <c r="NM2">
        <f t="shared" si="5"/>
        <v>1555</v>
      </c>
      <c r="NN2">
        <f t="shared" si="5"/>
        <v>1884</v>
      </c>
      <c r="NO2">
        <f t="shared" si="5"/>
        <v>1335</v>
      </c>
      <c r="NP2">
        <f t="shared" si="5"/>
        <v>1226</v>
      </c>
      <c r="NQ2" s="2">
        <f t="shared" si="5"/>
        <v>784</v>
      </c>
      <c r="NR2">
        <f t="shared" si="5"/>
        <v>347</v>
      </c>
      <c r="NS2">
        <f t="shared" si="5"/>
        <v>393</v>
      </c>
      <c r="NT2">
        <f t="shared" si="5"/>
        <v>609</v>
      </c>
      <c r="NU2">
        <f t="shared" si="5"/>
        <v>1319</v>
      </c>
      <c r="NV2">
        <f t="shared" si="5"/>
        <v>2191</v>
      </c>
      <c r="NW2">
        <f t="shared" si="5"/>
        <v>1513</v>
      </c>
      <c r="NX2">
        <f t="shared" si="5"/>
        <v>511</v>
      </c>
      <c r="NY2">
        <f t="shared" si="5"/>
        <v>1709</v>
      </c>
      <c r="NZ2">
        <f t="shared" si="5"/>
        <v>1411</v>
      </c>
      <c r="OA2">
        <f t="shared" si="5"/>
        <v>3103</v>
      </c>
      <c r="OB2">
        <f t="shared" si="5"/>
        <v>1594</v>
      </c>
      <c r="OC2">
        <f t="shared" si="5"/>
        <v>473</v>
      </c>
      <c r="OD2">
        <f t="shared" ref="OD2:QO2" si="6">SUM(OD5:OD72)</f>
        <v>2082</v>
      </c>
      <c r="OE2">
        <f t="shared" si="6"/>
        <v>2100</v>
      </c>
      <c r="OF2">
        <f t="shared" si="6"/>
        <v>2107</v>
      </c>
      <c r="OG2">
        <f t="shared" si="6"/>
        <v>378</v>
      </c>
      <c r="OH2">
        <f t="shared" si="6"/>
        <v>1778</v>
      </c>
      <c r="OI2">
        <f t="shared" si="6"/>
        <v>384</v>
      </c>
      <c r="OJ2">
        <f t="shared" si="6"/>
        <v>2062</v>
      </c>
      <c r="OK2">
        <f t="shared" si="6"/>
        <v>2418</v>
      </c>
      <c r="OL2">
        <f t="shared" si="6"/>
        <v>741</v>
      </c>
      <c r="OM2">
        <f t="shared" si="6"/>
        <v>386</v>
      </c>
      <c r="ON2">
        <f t="shared" si="6"/>
        <v>1035</v>
      </c>
      <c r="OO2">
        <f t="shared" si="6"/>
        <v>1019</v>
      </c>
      <c r="OP2">
        <f t="shared" si="6"/>
        <v>928</v>
      </c>
      <c r="OQ2">
        <f t="shared" si="6"/>
        <v>522</v>
      </c>
      <c r="OR2">
        <f t="shared" si="6"/>
        <v>1797</v>
      </c>
      <c r="OS2">
        <f t="shared" si="6"/>
        <v>1703</v>
      </c>
      <c r="OT2">
        <f t="shared" si="6"/>
        <v>827</v>
      </c>
      <c r="OU2">
        <f t="shared" si="6"/>
        <v>749</v>
      </c>
      <c r="OV2">
        <f t="shared" si="6"/>
        <v>1803</v>
      </c>
      <c r="OW2">
        <f t="shared" si="6"/>
        <v>1043</v>
      </c>
      <c r="OX2">
        <f t="shared" si="6"/>
        <v>908</v>
      </c>
      <c r="OY2">
        <f t="shared" si="6"/>
        <v>1054</v>
      </c>
      <c r="OZ2">
        <f t="shared" si="6"/>
        <v>584</v>
      </c>
      <c r="PA2">
        <f t="shared" si="6"/>
        <v>239</v>
      </c>
      <c r="PB2">
        <f t="shared" si="6"/>
        <v>576</v>
      </c>
      <c r="PC2">
        <f t="shared" si="6"/>
        <v>519</v>
      </c>
      <c r="PD2">
        <f t="shared" si="6"/>
        <v>827</v>
      </c>
      <c r="PE2">
        <f t="shared" si="6"/>
        <v>297</v>
      </c>
      <c r="PF2">
        <f t="shared" si="6"/>
        <v>472</v>
      </c>
      <c r="PG2">
        <f t="shared" si="6"/>
        <v>243</v>
      </c>
      <c r="PH2">
        <f t="shared" si="6"/>
        <v>1957</v>
      </c>
      <c r="PI2">
        <f t="shared" si="6"/>
        <v>2676</v>
      </c>
      <c r="PJ2">
        <f t="shared" si="6"/>
        <v>2427</v>
      </c>
      <c r="PK2">
        <f t="shared" si="6"/>
        <v>932</v>
      </c>
      <c r="PL2">
        <f t="shared" si="6"/>
        <v>756</v>
      </c>
      <c r="PM2">
        <f t="shared" si="6"/>
        <v>1031</v>
      </c>
      <c r="PN2">
        <f t="shared" si="6"/>
        <v>689</v>
      </c>
      <c r="PO2">
        <f t="shared" si="6"/>
        <v>816</v>
      </c>
      <c r="PP2">
        <f t="shared" si="6"/>
        <v>231</v>
      </c>
      <c r="PQ2">
        <f t="shared" si="6"/>
        <v>662</v>
      </c>
      <c r="PR2">
        <f t="shared" si="6"/>
        <v>402</v>
      </c>
      <c r="PS2">
        <f t="shared" si="6"/>
        <v>3608</v>
      </c>
      <c r="PT2">
        <f t="shared" si="6"/>
        <v>27</v>
      </c>
      <c r="PU2">
        <f t="shared" si="6"/>
        <v>1137</v>
      </c>
      <c r="PV2">
        <f t="shared" si="6"/>
        <v>1236</v>
      </c>
      <c r="PW2">
        <f t="shared" si="6"/>
        <v>938</v>
      </c>
      <c r="PX2">
        <f t="shared" si="6"/>
        <v>46</v>
      </c>
      <c r="PY2">
        <f t="shared" si="6"/>
        <v>31</v>
      </c>
      <c r="PZ2">
        <f t="shared" si="6"/>
        <v>3083</v>
      </c>
      <c r="QA2">
        <f t="shared" si="6"/>
        <v>1478</v>
      </c>
      <c r="QB2">
        <f t="shared" si="6"/>
        <v>552</v>
      </c>
      <c r="QC2">
        <f t="shared" si="6"/>
        <v>26</v>
      </c>
      <c r="QD2">
        <f t="shared" si="6"/>
        <v>1271</v>
      </c>
      <c r="QE2">
        <f t="shared" si="6"/>
        <v>1593</v>
      </c>
      <c r="QF2">
        <f t="shared" si="6"/>
        <v>1360</v>
      </c>
      <c r="QG2">
        <f t="shared" si="6"/>
        <v>122</v>
      </c>
      <c r="QH2">
        <f t="shared" si="6"/>
        <v>282</v>
      </c>
      <c r="QI2">
        <f t="shared" si="6"/>
        <v>213</v>
      </c>
      <c r="QJ2">
        <f t="shared" si="6"/>
        <v>363</v>
      </c>
      <c r="QK2">
        <f t="shared" si="6"/>
        <v>112</v>
      </c>
      <c r="QL2">
        <f t="shared" si="6"/>
        <v>642</v>
      </c>
      <c r="QM2">
        <f t="shared" si="6"/>
        <v>919</v>
      </c>
      <c r="QN2">
        <f t="shared" si="6"/>
        <v>290</v>
      </c>
      <c r="QO2">
        <f t="shared" si="6"/>
        <v>542</v>
      </c>
      <c r="QP2">
        <f t="shared" ref="QP2:TA2" si="7">SUM(QP5:QP72)</f>
        <v>183</v>
      </c>
      <c r="QQ2">
        <f t="shared" si="7"/>
        <v>104</v>
      </c>
      <c r="QR2">
        <f t="shared" si="7"/>
        <v>312</v>
      </c>
      <c r="QS2">
        <f t="shared" si="7"/>
        <v>439</v>
      </c>
      <c r="QT2">
        <f t="shared" si="7"/>
        <v>520</v>
      </c>
      <c r="QU2">
        <f t="shared" si="7"/>
        <v>145</v>
      </c>
      <c r="QV2">
        <f t="shared" si="7"/>
        <v>255</v>
      </c>
      <c r="QW2">
        <f t="shared" si="7"/>
        <v>86</v>
      </c>
      <c r="QX2">
        <f t="shared" si="7"/>
        <v>630</v>
      </c>
      <c r="QY2">
        <f t="shared" si="7"/>
        <v>691</v>
      </c>
      <c r="QZ2">
        <f t="shared" si="7"/>
        <v>305</v>
      </c>
      <c r="RA2">
        <f t="shared" si="7"/>
        <v>2263</v>
      </c>
      <c r="RB2">
        <f t="shared" si="7"/>
        <v>118</v>
      </c>
      <c r="RC2">
        <f t="shared" si="7"/>
        <v>1019</v>
      </c>
      <c r="RD2">
        <f t="shared" si="7"/>
        <v>360</v>
      </c>
      <c r="RE2">
        <f t="shared" si="7"/>
        <v>2588</v>
      </c>
      <c r="RF2">
        <f t="shared" si="7"/>
        <v>1034</v>
      </c>
      <c r="RG2">
        <f t="shared" si="7"/>
        <v>699</v>
      </c>
      <c r="RH2">
        <f t="shared" si="7"/>
        <v>1319</v>
      </c>
      <c r="RI2">
        <f t="shared" si="7"/>
        <v>1467</v>
      </c>
      <c r="RJ2">
        <f t="shared" si="7"/>
        <v>121</v>
      </c>
      <c r="RK2">
        <f t="shared" si="7"/>
        <v>499</v>
      </c>
      <c r="RL2">
        <f t="shared" si="7"/>
        <v>273</v>
      </c>
      <c r="RM2">
        <f t="shared" si="7"/>
        <v>160</v>
      </c>
      <c r="RN2">
        <f t="shared" si="7"/>
        <v>503</v>
      </c>
      <c r="RO2">
        <f t="shared" si="7"/>
        <v>256</v>
      </c>
      <c r="RP2">
        <f t="shared" si="7"/>
        <v>352</v>
      </c>
      <c r="RQ2">
        <f t="shared" si="7"/>
        <v>177</v>
      </c>
      <c r="RR2">
        <f t="shared" si="7"/>
        <v>111</v>
      </c>
      <c r="RS2">
        <f t="shared" si="7"/>
        <v>1526</v>
      </c>
      <c r="RT2">
        <f t="shared" si="7"/>
        <v>1381</v>
      </c>
      <c r="RU2">
        <f t="shared" si="7"/>
        <v>1372</v>
      </c>
      <c r="RV2">
        <f t="shared" si="7"/>
        <v>2525</v>
      </c>
      <c r="RW2">
        <f t="shared" si="7"/>
        <v>2421</v>
      </c>
      <c r="RX2">
        <f t="shared" si="7"/>
        <v>2248</v>
      </c>
      <c r="RY2">
        <f t="shared" si="7"/>
        <v>62</v>
      </c>
      <c r="RZ2">
        <f t="shared" si="7"/>
        <v>73</v>
      </c>
      <c r="SA2">
        <f t="shared" si="7"/>
        <v>2277</v>
      </c>
      <c r="SB2">
        <f t="shared" si="7"/>
        <v>22</v>
      </c>
      <c r="SC2">
        <f t="shared" si="7"/>
        <v>1411</v>
      </c>
      <c r="SD2">
        <f t="shared" si="7"/>
        <v>222</v>
      </c>
      <c r="SE2">
        <f t="shared" si="7"/>
        <v>1995</v>
      </c>
      <c r="SF2">
        <f t="shared" si="7"/>
        <v>124</v>
      </c>
      <c r="SG2">
        <f t="shared" si="7"/>
        <v>630</v>
      </c>
      <c r="SH2">
        <f t="shared" si="7"/>
        <v>427</v>
      </c>
      <c r="SI2">
        <f t="shared" si="7"/>
        <v>2888</v>
      </c>
      <c r="SJ2">
        <f t="shared" si="7"/>
        <v>90</v>
      </c>
      <c r="SK2">
        <f t="shared" si="7"/>
        <v>1581</v>
      </c>
      <c r="SL2">
        <f t="shared" si="7"/>
        <v>130</v>
      </c>
      <c r="SM2">
        <f t="shared" si="7"/>
        <v>443</v>
      </c>
      <c r="SN2">
        <f t="shared" si="7"/>
        <v>324</v>
      </c>
      <c r="SO2">
        <f t="shared" si="7"/>
        <v>1662</v>
      </c>
      <c r="SP2">
        <f t="shared" si="7"/>
        <v>1222</v>
      </c>
      <c r="SQ2">
        <f t="shared" si="7"/>
        <v>711</v>
      </c>
      <c r="SR2">
        <f t="shared" si="7"/>
        <v>58</v>
      </c>
      <c r="SS2">
        <f t="shared" si="7"/>
        <v>865</v>
      </c>
      <c r="ST2">
        <f t="shared" si="7"/>
        <v>1231</v>
      </c>
      <c r="SU2">
        <f t="shared" si="7"/>
        <v>41</v>
      </c>
      <c r="SV2">
        <f t="shared" si="7"/>
        <v>1151</v>
      </c>
      <c r="SW2">
        <f t="shared" si="7"/>
        <v>32</v>
      </c>
      <c r="SX2">
        <f t="shared" si="7"/>
        <v>72</v>
      </c>
      <c r="SY2">
        <f t="shared" si="7"/>
        <v>1313</v>
      </c>
      <c r="SZ2">
        <f t="shared" si="7"/>
        <v>463</v>
      </c>
      <c r="TA2">
        <f t="shared" si="7"/>
        <v>299</v>
      </c>
      <c r="TB2">
        <f t="shared" ref="TB2:VI2" si="8">SUM(TB5:TB72)</f>
        <v>108</v>
      </c>
      <c r="TC2">
        <f t="shared" si="8"/>
        <v>916</v>
      </c>
      <c r="TD2">
        <f t="shared" si="8"/>
        <v>1618</v>
      </c>
      <c r="TE2">
        <f t="shared" si="8"/>
        <v>2468</v>
      </c>
      <c r="TF2">
        <f t="shared" si="8"/>
        <v>1147</v>
      </c>
      <c r="TG2">
        <f t="shared" si="8"/>
        <v>763</v>
      </c>
      <c r="TH2">
        <f t="shared" si="8"/>
        <v>2495</v>
      </c>
      <c r="TI2">
        <f t="shared" si="8"/>
        <v>883</v>
      </c>
      <c r="TJ2">
        <f t="shared" si="8"/>
        <v>825</v>
      </c>
      <c r="TK2">
        <f t="shared" si="8"/>
        <v>1942</v>
      </c>
      <c r="TL2">
        <f t="shared" si="8"/>
        <v>734</v>
      </c>
      <c r="TM2">
        <f t="shared" si="8"/>
        <v>657</v>
      </c>
      <c r="TN2">
        <f t="shared" si="8"/>
        <v>754</v>
      </c>
      <c r="TO2">
        <f t="shared" si="8"/>
        <v>718</v>
      </c>
      <c r="TP2">
        <f t="shared" si="8"/>
        <v>380</v>
      </c>
      <c r="TQ2">
        <f t="shared" si="8"/>
        <v>939</v>
      </c>
      <c r="TR2">
        <f t="shared" si="8"/>
        <v>1989</v>
      </c>
      <c r="TS2">
        <f t="shared" si="8"/>
        <v>1725</v>
      </c>
      <c r="TT2">
        <f t="shared" si="8"/>
        <v>1950</v>
      </c>
      <c r="TU2">
        <f t="shared" si="8"/>
        <v>2270</v>
      </c>
      <c r="TV2">
        <f t="shared" si="8"/>
        <v>1885</v>
      </c>
      <c r="TW2">
        <f t="shared" si="8"/>
        <v>2224</v>
      </c>
      <c r="TX2">
        <f t="shared" si="8"/>
        <v>2096</v>
      </c>
      <c r="TY2">
        <f t="shared" si="8"/>
        <v>81</v>
      </c>
      <c r="TZ2">
        <f t="shared" si="8"/>
        <v>2096</v>
      </c>
      <c r="UA2">
        <f t="shared" si="8"/>
        <v>2294</v>
      </c>
      <c r="UB2">
        <f t="shared" si="8"/>
        <v>1924</v>
      </c>
      <c r="UC2">
        <f t="shared" si="8"/>
        <v>2579</v>
      </c>
      <c r="UD2">
        <f t="shared" si="8"/>
        <v>2445</v>
      </c>
      <c r="UE2">
        <f t="shared" si="8"/>
        <v>2238</v>
      </c>
      <c r="UF2">
        <f t="shared" si="8"/>
        <v>2099</v>
      </c>
      <c r="UG2">
        <f t="shared" si="8"/>
        <v>2343</v>
      </c>
      <c r="UH2">
        <f t="shared" si="8"/>
        <v>2393</v>
      </c>
      <c r="UI2">
        <f t="shared" si="8"/>
        <v>1554</v>
      </c>
      <c r="UJ2">
        <f t="shared" si="8"/>
        <v>2194</v>
      </c>
      <c r="UK2">
        <f t="shared" si="8"/>
        <v>2237</v>
      </c>
      <c r="UL2">
        <f t="shared" si="8"/>
        <v>2776</v>
      </c>
      <c r="UM2">
        <f t="shared" si="8"/>
        <v>2530</v>
      </c>
      <c r="UN2">
        <f t="shared" si="8"/>
        <v>1894</v>
      </c>
      <c r="UO2">
        <f t="shared" si="8"/>
        <v>2897</v>
      </c>
      <c r="UP2">
        <f t="shared" si="8"/>
        <v>1993</v>
      </c>
      <c r="UQ2">
        <f t="shared" si="8"/>
        <v>1807</v>
      </c>
      <c r="UR2">
        <f t="shared" si="8"/>
        <v>963</v>
      </c>
      <c r="US2">
        <f t="shared" si="8"/>
        <v>793</v>
      </c>
      <c r="UT2">
        <f t="shared" si="8"/>
        <v>73</v>
      </c>
      <c r="UU2">
        <f t="shared" si="8"/>
        <v>855</v>
      </c>
      <c r="UV2">
        <f t="shared" si="8"/>
        <v>713</v>
      </c>
      <c r="UW2">
        <f t="shared" si="8"/>
        <v>1021</v>
      </c>
      <c r="UX2">
        <f t="shared" si="8"/>
        <v>207</v>
      </c>
      <c r="UY2">
        <f t="shared" si="8"/>
        <v>149</v>
      </c>
      <c r="UZ2">
        <f t="shared" si="8"/>
        <v>108</v>
      </c>
      <c r="VA2">
        <f t="shared" si="8"/>
        <v>117</v>
      </c>
      <c r="VB2">
        <f t="shared" si="8"/>
        <v>139</v>
      </c>
      <c r="VC2">
        <f t="shared" si="8"/>
        <v>116</v>
      </c>
      <c r="VD2">
        <f t="shared" si="8"/>
        <v>843</v>
      </c>
      <c r="VE2">
        <f t="shared" si="8"/>
        <v>625</v>
      </c>
      <c r="VF2">
        <f t="shared" si="8"/>
        <v>992</v>
      </c>
      <c r="VG2">
        <f t="shared" si="8"/>
        <v>1034</v>
      </c>
      <c r="VH2">
        <f t="shared" si="8"/>
        <v>688</v>
      </c>
      <c r="VI2">
        <f t="shared" si="8"/>
        <v>47</v>
      </c>
    </row>
    <row r="3" spans="1:581" x14ac:dyDescent="0.2">
      <c r="I3" s="1" t="s">
        <v>2</v>
      </c>
      <c r="J3">
        <f t="shared" ref="J3:BU3" si="9">COUNT(J5:J72)</f>
        <v>2</v>
      </c>
      <c r="K3">
        <f t="shared" si="9"/>
        <v>4</v>
      </c>
      <c r="L3">
        <f t="shared" si="9"/>
        <v>3</v>
      </c>
      <c r="M3">
        <f t="shared" si="9"/>
        <v>3</v>
      </c>
      <c r="N3">
        <f t="shared" si="9"/>
        <v>4</v>
      </c>
      <c r="O3">
        <f t="shared" si="9"/>
        <v>6</v>
      </c>
      <c r="P3">
        <f t="shared" si="9"/>
        <v>3</v>
      </c>
      <c r="Q3">
        <f t="shared" si="9"/>
        <v>4</v>
      </c>
      <c r="R3">
        <f t="shared" si="9"/>
        <v>7</v>
      </c>
      <c r="S3">
        <f t="shared" si="9"/>
        <v>5</v>
      </c>
      <c r="T3">
        <f t="shared" si="9"/>
        <v>4</v>
      </c>
      <c r="U3">
        <f t="shared" si="9"/>
        <v>4</v>
      </c>
      <c r="V3">
        <f t="shared" si="9"/>
        <v>4</v>
      </c>
      <c r="W3">
        <f t="shared" si="9"/>
        <v>4</v>
      </c>
      <c r="X3">
        <f t="shared" si="9"/>
        <v>4</v>
      </c>
      <c r="Y3">
        <f t="shared" si="9"/>
        <v>6</v>
      </c>
      <c r="Z3">
        <f t="shared" si="9"/>
        <v>4</v>
      </c>
      <c r="AA3">
        <f t="shared" si="9"/>
        <v>5</v>
      </c>
      <c r="AB3">
        <f t="shared" si="9"/>
        <v>4</v>
      </c>
      <c r="AC3">
        <f t="shared" si="9"/>
        <v>2</v>
      </c>
      <c r="AD3">
        <f t="shared" si="9"/>
        <v>3</v>
      </c>
      <c r="AE3">
        <f t="shared" si="9"/>
        <v>3</v>
      </c>
      <c r="AF3">
        <f t="shared" si="9"/>
        <v>3</v>
      </c>
      <c r="AG3">
        <f t="shared" si="9"/>
        <v>4</v>
      </c>
      <c r="AH3">
        <f t="shared" si="9"/>
        <v>4</v>
      </c>
      <c r="AI3">
        <f t="shared" si="9"/>
        <v>3</v>
      </c>
      <c r="AJ3">
        <f t="shared" si="9"/>
        <v>2</v>
      </c>
      <c r="AK3">
        <f t="shared" si="9"/>
        <v>5</v>
      </c>
      <c r="AL3">
        <f t="shared" si="9"/>
        <v>6</v>
      </c>
      <c r="AM3">
        <f t="shared" si="9"/>
        <v>4</v>
      </c>
      <c r="AN3">
        <f t="shared" si="9"/>
        <v>5</v>
      </c>
      <c r="AO3">
        <f t="shared" si="9"/>
        <v>3</v>
      </c>
      <c r="AP3">
        <f t="shared" si="9"/>
        <v>3</v>
      </c>
      <c r="AQ3">
        <f t="shared" si="9"/>
        <v>4</v>
      </c>
      <c r="AR3">
        <f t="shared" si="9"/>
        <v>3</v>
      </c>
      <c r="AS3">
        <f t="shared" si="9"/>
        <v>3</v>
      </c>
      <c r="AT3">
        <f t="shared" si="9"/>
        <v>4</v>
      </c>
      <c r="AU3">
        <f t="shared" si="9"/>
        <v>5</v>
      </c>
      <c r="AV3">
        <f t="shared" si="9"/>
        <v>5</v>
      </c>
      <c r="AW3">
        <f t="shared" si="9"/>
        <v>3</v>
      </c>
      <c r="AX3">
        <f t="shared" si="9"/>
        <v>3</v>
      </c>
      <c r="AY3">
        <f t="shared" si="9"/>
        <v>3</v>
      </c>
      <c r="AZ3">
        <f t="shared" si="9"/>
        <v>4</v>
      </c>
      <c r="BA3">
        <f t="shared" si="9"/>
        <v>5</v>
      </c>
      <c r="BB3">
        <f t="shared" si="9"/>
        <v>4</v>
      </c>
      <c r="BC3">
        <f t="shared" si="9"/>
        <v>4</v>
      </c>
      <c r="BD3">
        <f t="shared" si="9"/>
        <v>5</v>
      </c>
      <c r="BE3">
        <f t="shared" si="9"/>
        <v>4</v>
      </c>
      <c r="BF3">
        <f t="shared" si="9"/>
        <v>2</v>
      </c>
      <c r="BG3">
        <f t="shared" si="9"/>
        <v>3</v>
      </c>
      <c r="BH3">
        <f t="shared" si="9"/>
        <v>5</v>
      </c>
      <c r="BI3">
        <f t="shared" si="9"/>
        <v>2</v>
      </c>
      <c r="BJ3">
        <f t="shared" si="9"/>
        <v>4</v>
      </c>
      <c r="BK3">
        <f t="shared" si="9"/>
        <v>3</v>
      </c>
      <c r="BL3">
        <f t="shared" si="9"/>
        <v>5</v>
      </c>
      <c r="BM3">
        <f t="shared" si="9"/>
        <v>4</v>
      </c>
      <c r="BN3">
        <f t="shared" si="9"/>
        <v>4</v>
      </c>
      <c r="BO3">
        <f t="shared" si="9"/>
        <v>2</v>
      </c>
      <c r="BP3">
        <f t="shared" si="9"/>
        <v>5</v>
      </c>
      <c r="BQ3">
        <f t="shared" si="9"/>
        <v>4</v>
      </c>
      <c r="BR3">
        <f t="shared" si="9"/>
        <v>5</v>
      </c>
      <c r="BS3">
        <f t="shared" si="9"/>
        <v>3</v>
      </c>
      <c r="BT3">
        <f t="shared" si="9"/>
        <v>2</v>
      </c>
      <c r="BU3">
        <f t="shared" si="9"/>
        <v>5</v>
      </c>
      <c r="BV3">
        <f t="shared" ref="BV3:EG3" si="10">COUNT(BV5:BV72)</f>
        <v>3</v>
      </c>
      <c r="BW3">
        <f t="shared" si="10"/>
        <v>3</v>
      </c>
      <c r="BX3">
        <f t="shared" si="10"/>
        <v>2</v>
      </c>
      <c r="BY3">
        <f t="shared" si="10"/>
        <v>2</v>
      </c>
      <c r="BZ3">
        <f t="shared" si="10"/>
        <v>5</v>
      </c>
      <c r="CA3">
        <f t="shared" si="10"/>
        <v>3</v>
      </c>
      <c r="CB3">
        <f t="shared" si="10"/>
        <v>5</v>
      </c>
      <c r="CC3">
        <f t="shared" si="10"/>
        <v>2</v>
      </c>
      <c r="CD3">
        <f t="shared" si="10"/>
        <v>2</v>
      </c>
      <c r="CE3">
        <f t="shared" si="10"/>
        <v>4</v>
      </c>
      <c r="CF3">
        <f t="shared" si="10"/>
        <v>3</v>
      </c>
      <c r="CG3">
        <f t="shared" si="10"/>
        <v>3</v>
      </c>
      <c r="CH3">
        <f t="shared" si="10"/>
        <v>3</v>
      </c>
      <c r="CI3">
        <f t="shared" si="10"/>
        <v>3</v>
      </c>
      <c r="CJ3">
        <f t="shared" si="10"/>
        <v>3</v>
      </c>
      <c r="CK3">
        <f t="shared" si="10"/>
        <v>3</v>
      </c>
      <c r="CL3">
        <f t="shared" si="10"/>
        <v>3</v>
      </c>
      <c r="CM3">
        <f t="shared" si="10"/>
        <v>3</v>
      </c>
      <c r="CN3">
        <f t="shared" si="10"/>
        <v>3</v>
      </c>
      <c r="CO3">
        <f t="shared" si="10"/>
        <v>3</v>
      </c>
      <c r="CP3">
        <f t="shared" si="10"/>
        <v>4</v>
      </c>
      <c r="CQ3">
        <f t="shared" si="10"/>
        <v>4</v>
      </c>
      <c r="CR3">
        <f t="shared" si="10"/>
        <v>4</v>
      </c>
      <c r="CS3">
        <f t="shared" si="10"/>
        <v>2</v>
      </c>
      <c r="CT3">
        <f t="shared" si="10"/>
        <v>3</v>
      </c>
      <c r="CU3">
        <f t="shared" si="10"/>
        <v>4</v>
      </c>
      <c r="CV3">
        <f t="shared" si="10"/>
        <v>3</v>
      </c>
      <c r="CW3">
        <f t="shared" si="10"/>
        <v>5</v>
      </c>
      <c r="CX3">
        <f t="shared" si="10"/>
        <v>4</v>
      </c>
      <c r="CY3">
        <f t="shared" si="10"/>
        <v>2</v>
      </c>
      <c r="CZ3">
        <f t="shared" si="10"/>
        <v>4</v>
      </c>
      <c r="DA3">
        <f t="shared" si="10"/>
        <v>3</v>
      </c>
      <c r="DB3">
        <f t="shared" si="10"/>
        <v>1</v>
      </c>
      <c r="DC3">
        <f t="shared" si="10"/>
        <v>2</v>
      </c>
      <c r="DD3">
        <f t="shared" si="10"/>
        <v>4</v>
      </c>
      <c r="DE3">
        <f t="shared" si="10"/>
        <v>2</v>
      </c>
      <c r="DF3">
        <f t="shared" si="10"/>
        <v>4</v>
      </c>
      <c r="DG3">
        <f t="shared" si="10"/>
        <v>4</v>
      </c>
      <c r="DH3">
        <f t="shared" si="10"/>
        <v>5</v>
      </c>
      <c r="DI3">
        <f t="shared" si="10"/>
        <v>6</v>
      </c>
      <c r="DJ3">
        <f t="shared" si="10"/>
        <v>4</v>
      </c>
      <c r="DK3">
        <f t="shared" si="10"/>
        <v>4</v>
      </c>
      <c r="DL3">
        <f t="shared" si="10"/>
        <v>4</v>
      </c>
      <c r="DM3">
        <f t="shared" si="10"/>
        <v>5</v>
      </c>
      <c r="DN3">
        <f t="shared" si="10"/>
        <v>5</v>
      </c>
      <c r="DO3">
        <f t="shared" si="10"/>
        <v>5</v>
      </c>
      <c r="DP3">
        <f t="shared" si="10"/>
        <v>6</v>
      </c>
      <c r="DQ3">
        <f t="shared" si="10"/>
        <v>4</v>
      </c>
      <c r="DR3">
        <f t="shared" si="10"/>
        <v>4</v>
      </c>
      <c r="DS3">
        <f t="shared" si="10"/>
        <v>5</v>
      </c>
      <c r="DT3">
        <f t="shared" si="10"/>
        <v>4</v>
      </c>
      <c r="DU3">
        <f t="shared" si="10"/>
        <v>5</v>
      </c>
      <c r="DV3">
        <f t="shared" si="10"/>
        <v>5</v>
      </c>
      <c r="DW3">
        <f t="shared" si="10"/>
        <v>5</v>
      </c>
      <c r="DX3">
        <f t="shared" si="10"/>
        <v>4</v>
      </c>
      <c r="DY3">
        <f t="shared" si="10"/>
        <v>4</v>
      </c>
      <c r="DZ3">
        <f t="shared" si="10"/>
        <v>4</v>
      </c>
      <c r="EA3">
        <f t="shared" si="10"/>
        <v>5</v>
      </c>
      <c r="EB3">
        <f t="shared" si="10"/>
        <v>4</v>
      </c>
      <c r="EC3">
        <f t="shared" si="10"/>
        <v>4</v>
      </c>
      <c r="ED3">
        <f t="shared" si="10"/>
        <v>3</v>
      </c>
      <c r="EE3">
        <f t="shared" si="10"/>
        <v>5</v>
      </c>
      <c r="EF3">
        <f t="shared" si="10"/>
        <v>5</v>
      </c>
      <c r="EG3">
        <f t="shared" si="10"/>
        <v>3</v>
      </c>
      <c r="EH3">
        <f t="shared" ref="EH3:GS3" si="11">COUNT(EH5:EH72)</f>
        <v>5</v>
      </c>
      <c r="EI3">
        <f t="shared" si="11"/>
        <v>7</v>
      </c>
      <c r="EJ3">
        <f t="shared" si="11"/>
        <v>6</v>
      </c>
      <c r="EK3">
        <f t="shared" si="11"/>
        <v>5</v>
      </c>
      <c r="EL3">
        <f t="shared" si="11"/>
        <v>5</v>
      </c>
      <c r="EM3">
        <f t="shared" si="11"/>
        <v>4</v>
      </c>
      <c r="EN3">
        <f t="shared" si="11"/>
        <v>1</v>
      </c>
      <c r="EO3">
        <f t="shared" si="11"/>
        <v>6</v>
      </c>
      <c r="EP3">
        <f t="shared" si="11"/>
        <v>5</v>
      </c>
      <c r="EQ3">
        <f t="shared" si="11"/>
        <v>6</v>
      </c>
      <c r="ER3">
        <f t="shared" si="11"/>
        <v>5</v>
      </c>
      <c r="ES3">
        <f t="shared" si="11"/>
        <v>5</v>
      </c>
      <c r="ET3">
        <f t="shared" si="11"/>
        <v>5</v>
      </c>
      <c r="EU3">
        <f t="shared" si="11"/>
        <v>6</v>
      </c>
      <c r="EV3">
        <f t="shared" si="11"/>
        <v>5</v>
      </c>
      <c r="EW3">
        <f t="shared" si="11"/>
        <v>3</v>
      </c>
      <c r="EX3">
        <f t="shared" si="11"/>
        <v>3</v>
      </c>
      <c r="EY3">
        <f t="shared" si="11"/>
        <v>4</v>
      </c>
      <c r="EZ3">
        <f t="shared" si="11"/>
        <v>6</v>
      </c>
      <c r="FA3">
        <f t="shared" si="11"/>
        <v>6</v>
      </c>
      <c r="FB3">
        <f t="shared" si="11"/>
        <v>4</v>
      </c>
      <c r="FC3">
        <f t="shared" si="11"/>
        <v>7</v>
      </c>
      <c r="FD3">
        <f t="shared" si="11"/>
        <v>4</v>
      </c>
      <c r="FE3">
        <f t="shared" si="11"/>
        <v>4</v>
      </c>
      <c r="FF3">
        <f t="shared" si="11"/>
        <v>3</v>
      </c>
      <c r="FG3">
        <f t="shared" si="11"/>
        <v>4</v>
      </c>
      <c r="FH3">
        <f t="shared" si="11"/>
        <v>7</v>
      </c>
      <c r="FI3">
        <f t="shared" si="11"/>
        <v>4</v>
      </c>
      <c r="FJ3">
        <f t="shared" si="11"/>
        <v>6</v>
      </c>
      <c r="FK3">
        <f t="shared" si="11"/>
        <v>4</v>
      </c>
      <c r="FL3">
        <f t="shared" si="11"/>
        <v>5</v>
      </c>
      <c r="FM3">
        <f t="shared" si="11"/>
        <v>8</v>
      </c>
      <c r="FN3">
        <f t="shared" si="11"/>
        <v>4</v>
      </c>
      <c r="FO3">
        <f t="shared" si="11"/>
        <v>4</v>
      </c>
      <c r="FP3">
        <f t="shared" si="11"/>
        <v>4</v>
      </c>
      <c r="FQ3">
        <f t="shared" si="11"/>
        <v>5</v>
      </c>
      <c r="FR3">
        <f t="shared" si="11"/>
        <v>5</v>
      </c>
      <c r="FS3">
        <f t="shared" si="11"/>
        <v>6</v>
      </c>
      <c r="FT3">
        <f t="shared" si="11"/>
        <v>6</v>
      </c>
      <c r="FU3">
        <f t="shared" si="11"/>
        <v>6</v>
      </c>
      <c r="FV3">
        <f t="shared" si="11"/>
        <v>7</v>
      </c>
      <c r="FW3">
        <f t="shared" si="11"/>
        <v>9</v>
      </c>
      <c r="FX3">
        <f t="shared" si="11"/>
        <v>6</v>
      </c>
      <c r="FY3">
        <f t="shared" si="11"/>
        <v>2</v>
      </c>
      <c r="FZ3">
        <f t="shared" si="11"/>
        <v>6</v>
      </c>
      <c r="GA3">
        <f t="shared" si="11"/>
        <v>3</v>
      </c>
      <c r="GB3">
        <f t="shared" si="11"/>
        <v>5</v>
      </c>
      <c r="GC3">
        <f t="shared" si="11"/>
        <v>5</v>
      </c>
      <c r="GD3">
        <f t="shared" si="11"/>
        <v>8</v>
      </c>
      <c r="GE3">
        <f t="shared" si="11"/>
        <v>2</v>
      </c>
      <c r="GF3">
        <f t="shared" si="11"/>
        <v>6</v>
      </c>
      <c r="GG3">
        <f t="shared" si="11"/>
        <v>5</v>
      </c>
      <c r="GH3">
        <f t="shared" si="11"/>
        <v>7</v>
      </c>
      <c r="GI3">
        <f t="shared" si="11"/>
        <v>4</v>
      </c>
      <c r="GJ3">
        <f t="shared" si="11"/>
        <v>7</v>
      </c>
      <c r="GK3">
        <f t="shared" si="11"/>
        <v>3</v>
      </c>
      <c r="GL3">
        <f t="shared" si="11"/>
        <v>1</v>
      </c>
      <c r="GM3">
        <f t="shared" si="11"/>
        <v>2</v>
      </c>
      <c r="GN3">
        <f t="shared" si="11"/>
        <v>4</v>
      </c>
      <c r="GO3">
        <f t="shared" si="11"/>
        <v>4</v>
      </c>
      <c r="GP3">
        <f t="shared" si="11"/>
        <v>1</v>
      </c>
      <c r="GQ3">
        <f t="shared" si="11"/>
        <v>3</v>
      </c>
      <c r="GR3">
        <f t="shared" si="11"/>
        <v>5</v>
      </c>
      <c r="GS3">
        <f t="shared" si="11"/>
        <v>5</v>
      </c>
      <c r="GT3">
        <f t="shared" ref="GT3:JE3" si="12">COUNT(GT5:GT72)</f>
        <v>4</v>
      </c>
      <c r="GU3">
        <f t="shared" si="12"/>
        <v>4</v>
      </c>
      <c r="GV3">
        <f t="shared" si="12"/>
        <v>4</v>
      </c>
      <c r="GW3">
        <f t="shared" si="12"/>
        <v>5</v>
      </c>
      <c r="GX3">
        <f t="shared" si="12"/>
        <v>3</v>
      </c>
      <c r="GY3">
        <f t="shared" si="12"/>
        <v>3</v>
      </c>
      <c r="GZ3">
        <f t="shared" si="12"/>
        <v>5</v>
      </c>
      <c r="HA3">
        <f t="shared" si="12"/>
        <v>4</v>
      </c>
      <c r="HB3">
        <f t="shared" si="12"/>
        <v>4</v>
      </c>
      <c r="HC3">
        <f t="shared" si="12"/>
        <v>3</v>
      </c>
      <c r="HD3">
        <f t="shared" si="12"/>
        <v>3</v>
      </c>
      <c r="HE3">
        <f t="shared" si="12"/>
        <v>5</v>
      </c>
      <c r="HF3">
        <f t="shared" si="12"/>
        <v>4</v>
      </c>
      <c r="HG3">
        <f t="shared" si="12"/>
        <v>4</v>
      </c>
      <c r="HH3">
        <f t="shared" si="12"/>
        <v>6</v>
      </c>
      <c r="HI3">
        <f t="shared" si="12"/>
        <v>6</v>
      </c>
      <c r="HJ3">
        <f t="shared" si="12"/>
        <v>7</v>
      </c>
      <c r="HK3">
        <f t="shared" si="12"/>
        <v>5</v>
      </c>
      <c r="HL3">
        <f t="shared" si="12"/>
        <v>2</v>
      </c>
      <c r="HM3">
        <f t="shared" si="12"/>
        <v>3</v>
      </c>
      <c r="HN3">
        <f t="shared" si="12"/>
        <v>2</v>
      </c>
      <c r="HO3">
        <f t="shared" si="12"/>
        <v>3</v>
      </c>
      <c r="HP3">
        <f t="shared" si="12"/>
        <v>3</v>
      </c>
      <c r="HQ3">
        <f t="shared" si="12"/>
        <v>2</v>
      </c>
      <c r="HR3">
        <f t="shared" si="12"/>
        <v>4</v>
      </c>
      <c r="HS3">
        <f t="shared" si="12"/>
        <v>3</v>
      </c>
      <c r="HT3">
        <f t="shared" si="12"/>
        <v>5</v>
      </c>
      <c r="HU3">
        <f t="shared" si="12"/>
        <v>1</v>
      </c>
      <c r="HV3">
        <f t="shared" si="12"/>
        <v>3</v>
      </c>
      <c r="HW3">
        <f t="shared" si="12"/>
        <v>3</v>
      </c>
      <c r="HX3">
        <f t="shared" si="12"/>
        <v>2</v>
      </c>
      <c r="HY3">
        <f t="shared" si="12"/>
        <v>3</v>
      </c>
      <c r="HZ3">
        <f t="shared" si="12"/>
        <v>1</v>
      </c>
      <c r="IA3">
        <f t="shared" si="12"/>
        <v>3</v>
      </c>
      <c r="IB3">
        <f t="shared" si="12"/>
        <v>2</v>
      </c>
      <c r="IC3">
        <f t="shared" si="12"/>
        <v>3</v>
      </c>
      <c r="ID3">
        <f t="shared" si="12"/>
        <v>1</v>
      </c>
      <c r="IE3">
        <f t="shared" si="12"/>
        <v>2</v>
      </c>
      <c r="IF3">
        <f t="shared" si="12"/>
        <v>4</v>
      </c>
      <c r="IG3">
        <f t="shared" si="12"/>
        <v>8</v>
      </c>
      <c r="IH3">
        <f t="shared" si="12"/>
        <v>8</v>
      </c>
      <c r="II3">
        <f t="shared" si="12"/>
        <v>4</v>
      </c>
      <c r="IJ3">
        <f t="shared" si="12"/>
        <v>6</v>
      </c>
      <c r="IK3">
        <f t="shared" si="12"/>
        <v>4</v>
      </c>
      <c r="IL3">
        <f t="shared" si="12"/>
        <v>6</v>
      </c>
      <c r="IM3">
        <f t="shared" si="12"/>
        <v>7</v>
      </c>
      <c r="IN3">
        <f t="shared" si="12"/>
        <v>4</v>
      </c>
      <c r="IO3">
        <f t="shared" si="12"/>
        <v>7</v>
      </c>
      <c r="IP3">
        <f t="shared" si="12"/>
        <v>6</v>
      </c>
      <c r="IQ3">
        <f t="shared" si="12"/>
        <v>8</v>
      </c>
      <c r="IR3">
        <f t="shared" si="12"/>
        <v>5</v>
      </c>
      <c r="IS3">
        <f t="shared" si="12"/>
        <v>6</v>
      </c>
      <c r="IT3">
        <f t="shared" si="12"/>
        <v>4</v>
      </c>
      <c r="IU3">
        <f t="shared" si="12"/>
        <v>5</v>
      </c>
      <c r="IV3">
        <f t="shared" si="12"/>
        <v>3</v>
      </c>
      <c r="IW3">
        <f t="shared" si="12"/>
        <v>8</v>
      </c>
      <c r="IX3">
        <f t="shared" si="12"/>
        <v>3</v>
      </c>
      <c r="IY3">
        <f t="shared" si="12"/>
        <v>5</v>
      </c>
      <c r="IZ3">
        <f t="shared" si="12"/>
        <v>5</v>
      </c>
      <c r="JA3">
        <f t="shared" si="12"/>
        <v>6</v>
      </c>
      <c r="JB3">
        <f t="shared" si="12"/>
        <v>6</v>
      </c>
      <c r="JC3">
        <f t="shared" si="12"/>
        <v>6</v>
      </c>
      <c r="JD3">
        <f t="shared" si="12"/>
        <v>6</v>
      </c>
      <c r="JE3">
        <f t="shared" si="12"/>
        <v>4</v>
      </c>
      <c r="JF3">
        <f t="shared" ref="JF3:LQ3" si="13">COUNT(JF5:JF72)</f>
        <v>4</v>
      </c>
      <c r="JG3">
        <f t="shared" si="13"/>
        <v>1</v>
      </c>
      <c r="JH3">
        <f t="shared" si="13"/>
        <v>4</v>
      </c>
      <c r="JI3">
        <f t="shared" si="13"/>
        <v>5</v>
      </c>
      <c r="JJ3">
        <f t="shared" si="13"/>
        <v>5</v>
      </c>
      <c r="JK3">
        <f t="shared" si="13"/>
        <v>1</v>
      </c>
      <c r="JL3">
        <f t="shared" si="13"/>
        <v>5</v>
      </c>
      <c r="JM3">
        <f t="shared" si="13"/>
        <v>5</v>
      </c>
      <c r="JN3">
        <f t="shared" si="13"/>
        <v>3</v>
      </c>
      <c r="JO3">
        <f t="shared" si="13"/>
        <v>4</v>
      </c>
      <c r="JP3">
        <f t="shared" si="13"/>
        <v>4</v>
      </c>
      <c r="JQ3">
        <f t="shared" si="13"/>
        <v>3</v>
      </c>
      <c r="JR3">
        <f t="shared" si="13"/>
        <v>6</v>
      </c>
      <c r="JS3">
        <f t="shared" si="13"/>
        <v>6</v>
      </c>
      <c r="JT3">
        <f t="shared" si="13"/>
        <v>5</v>
      </c>
      <c r="JU3">
        <f t="shared" si="13"/>
        <v>5</v>
      </c>
      <c r="JV3">
        <f t="shared" si="13"/>
        <v>6</v>
      </c>
      <c r="JW3">
        <f t="shared" si="13"/>
        <v>4</v>
      </c>
      <c r="JX3">
        <f t="shared" si="13"/>
        <v>8</v>
      </c>
      <c r="JY3">
        <f t="shared" si="13"/>
        <v>8</v>
      </c>
      <c r="JZ3">
        <f t="shared" si="13"/>
        <v>4</v>
      </c>
      <c r="KA3">
        <f t="shared" si="13"/>
        <v>3</v>
      </c>
      <c r="KB3">
        <f t="shared" si="13"/>
        <v>4</v>
      </c>
      <c r="KC3">
        <f t="shared" si="13"/>
        <v>6</v>
      </c>
      <c r="KD3">
        <f t="shared" si="13"/>
        <v>6</v>
      </c>
      <c r="KE3">
        <f t="shared" si="13"/>
        <v>4</v>
      </c>
      <c r="KF3">
        <f t="shared" si="13"/>
        <v>4</v>
      </c>
      <c r="KG3">
        <f t="shared" si="13"/>
        <v>3</v>
      </c>
      <c r="KH3">
        <f t="shared" si="13"/>
        <v>8</v>
      </c>
      <c r="KI3">
        <f t="shared" si="13"/>
        <v>5</v>
      </c>
      <c r="KJ3">
        <f t="shared" si="13"/>
        <v>6</v>
      </c>
      <c r="KK3">
        <f t="shared" si="13"/>
        <v>6</v>
      </c>
      <c r="KL3">
        <f t="shared" si="13"/>
        <v>7</v>
      </c>
      <c r="KM3">
        <f t="shared" si="13"/>
        <v>5</v>
      </c>
      <c r="KN3">
        <f t="shared" si="13"/>
        <v>5</v>
      </c>
      <c r="KO3">
        <f t="shared" si="13"/>
        <v>6</v>
      </c>
      <c r="KP3">
        <f t="shared" si="13"/>
        <v>4</v>
      </c>
      <c r="KQ3">
        <f t="shared" si="13"/>
        <v>3</v>
      </c>
      <c r="KR3">
        <f t="shared" si="13"/>
        <v>3</v>
      </c>
      <c r="KS3">
        <f t="shared" si="13"/>
        <v>3</v>
      </c>
      <c r="KT3">
        <f t="shared" si="13"/>
        <v>2</v>
      </c>
      <c r="KU3">
        <f t="shared" si="13"/>
        <v>2</v>
      </c>
      <c r="KV3">
        <f t="shared" si="13"/>
        <v>3</v>
      </c>
      <c r="KW3">
        <f t="shared" si="13"/>
        <v>4</v>
      </c>
      <c r="KX3">
        <f t="shared" si="13"/>
        <v>4</v>
      </c>
      <c r="KY3">
        <f t="shared" si="13"/>
        <v>4</v>
      </c>
      <c r="KZ3">
        <f t="shared" si="13"/>
        <v>2</v>
      </c>
      <c r="LA3">
        <f t="shared" si="13"/>
        <v>2</v>
      </c>
      <c r="LB3">
        <f t="shared" si="13"/>
        <v>4</v>
      </c>
      <c r="LC3">
        <f t="shared" si="13"/>
        <v>7</v>
      </c>
      <c r="LD3">
        <f t="shared" si="13"/>
        <v>5</v>
      </c>
      <c r="LE3">
        <f t="shared" si="13"/>
        <v>3</v>
      </c>
      <c r="LF3">
        <f t="shared" si="13"/>
        <v>7</v>
      </c>
      <c r="LG3">
        <f t="shared" si="13"/>
        <v>5</v>
      </c>
      <c r="LH3">
        <f t="shared" si="13"/>
        <v>5</v>
      </c>
      <c r="LI3">
        <f t="shared" si="13"/>
        <v>4</v>
      </c>
      <c r="LJ3">
        <f t="shared" si="13"/>
        <v>6</v>
      </c>
      <c r="LK3">
        <f t="shared" si="13"/>
        <v>3</v>
      </c>
      <c r="LL3">
        <f t="shared" si="13"/>
        <v>4</v>
      </c>
      <c r="LM3">
        <f t="shared" si="13"/>
        <v>5</v>
      </c>
      <c r="LN3">
        <f t="shared" si="13"/>
        <v>5</v>
      </c>
      <c r="LO3">
        <f t="shared" si="13"/>
        <v>7</v>
      </c>
      <c r="LP3">
        <f t="shared" si="13"/>
        <v>6</v>
      </c>
      <c r="LQ3">
        <f t="shared" si="13"/>
        <v>7</v>
      </c>
      <c r="LR3">
        <f t="shared" ref="LR3:OC3" si="14">COUNT(LR5:LR72)</f>
        <v>6</v>
      </c>
      <c r="LS3">
        <f t="shared" si="14"/>
        <v>6</v>
      </c>
      <c r="LT3">
        <f t="shared" si="14"/>
        <v>6</v>
      </c>
      <c r="LU3">
        <f t="shared" si="14"/>
        <v>7</v>
      </c>
      <c r="LV3">
        <f t="shared" si="14"/>
        <v>4</v>
      </c>
      <c r="LW3">
        <f t="shared" si="14"/>
        <v>4</v>
      </c>
      <c r="LX3">
        <f t="shared" si="14"/>
        <v>6</v>
      </c>
      <c r="LY3">
        <f t="shared" si="14"/>
        <v>5</v>
      </c>
      <c r="LZ3">
        <f t="shared" si="14"/>
        <v>1</v>
      </c>
      <c r="MA3">
        <f t="shared" si="14"/>
        <v>7</v>
      </c>
      <c r="MB3">
        <f t="shared" si="14"/>
        <v>3</v>
      </c>
      <c r="MC3">
        <f t="shared" si="14"/>
        <v>2</v>
      </c>
      <c r="MD3">
        <f t="shared" si="14"/>
        <v>5</v>
      </c>
      <c r="ME3">
        <f t="shared" si="14"/>
        <v>4</v>
      </c>
      <c r="MF3">
        <f t="shared" si="14"/>
        <v>6</v>
      </c>
      <c r="MG3">
        <f t="shared" si="14"/>
        <v>6</v>
      </c>
      <c r="MH3">
        <f t="shared" si="14"/>
        <v>5</v>
      </c>
      <c r="MI3">
        <f t="shared" si="14"/>
        <v>5</v>
      </c>
      <c r="MJ3">
        <f t="shared" si="14"/>
        <v>5</v>
      </c>
      <c r="MK3">
        <f t="shared" si="14"/>
        <v>4</v>
      </c>
      <c r="ML3">
        <f t="shared" si="14"/>
        <v>5</v>
      </c>
      <c r="MM3">
        <f t="shared" si="14"/>
        <v>5</v>
      </c>
      <c r="MN3">
        <f t="shared" si="14"/>
        <v>4</v>
      </c>
      <c r="MO3">
        <f t="shared" si="14"/>
        <v>6</v>
      </c>
      <c r="MP3">
        <f t="shared" si="14"/>
        <v>6</v>
      </c>
      <c r="MQ3">
        <f t="shared" si="14"/>
        <v>6</v>
      </c>
      <c r="MR3">
        <f t="shared" si="14"/>
        <v>4</v>
      </c>
      <c r="MS3">
        <f t="shared" si="14"/>
        <v>4</v>
      </c>
      <c r="MT3">
        <f t="shared" si="14"/>
        <v>6</v>
      </c>
      <c r="MU3">
        <f t="shared" si="14"/>
        <v>5</v>
      </c>
      <c r="MV3">
        <f t="shared" si="14"/>
        <v>7</v>
      </c>
      <c r="MW3">
        <f t="shared" si="14"/>
        <v>1</v>
      </c>
      <c r="MX3">
        <f t="shared" si="14"/>
        <v>2</v>
      </c>
      <c r="MY3">
        <f t="shared" si="14"/>
        <v>3</v>
      </c>
      <c r="MZ3">
        <f t="shared" si="14"/>
        <v>3</v>
      </c>
      <c r="NA3">
        <f t="shared" si="14"/>
        <v>2</v>
      </c>
      <c r="NB3">
        <f t="shared" si="14"/>
        <v>1</v>
      </c>
      <c r="NC3">
        <f t="shared" si="14"/>
        <v>2</v>
      </c>
      <c r="ND3">
        <f t="shared" si="14"/>
        <v>2</v>
      </c>
      <c r="NE3">
        <f t="shared" si="14"/>
        <v>3</v>
      </c>
      <c r="NF3">
        <f t="shared" si="14"/>
        <v>4</v>
      </c>
      <c r="NG3">
        <f t="shared" si="14"/>
        <v>9</v>
      </c>
      <c r="NH3">
        <f t="shared" si="14"/>
        <v>4</v>
      </c>
      <c r="NI3">
        <f t="shared" si="14"/>
        <v>6</v>
      </c>
      <c r="NJ3">
        <f t="shared" si="14"/>
        <v>1</v>
      </c>
      <c r="NK3">
        <f t="shared" si="14"/>
        <v>5</v>
      </c>
      <c r="NL3">
        <f t="shared" si="14"/>
        <v>1</v>
      </c>
      <c r="NM3">
        <f t="shared" si="14"/>
        <v>7</v>
      </c>
      <c r="NN3">
        <f t="shared" si="14"/>
        <v>6</v>
      </c>
      <c r="NO3">
        <f t="shared" si="14"/>
        <v>5</v>
      </c>
      <c r="NP3">
        <f t="shared" si="14"/>
        <v>3</v>
      </c>
      <c r="NQ3" s="2">
        <f t="shared" si="14"/>
        <v>3</v>
      </c>
      <c r="NR3">
        <f t="shared" si="14"/>
        <v>6</v>
      </c>
      <c r="NS3">
        <f t="shared" si="14"/>
        <v>3</v>
      </c>
      <c r="NT3">
        <f t="shared" si="14"/>
        <v>2</v>
      </c>
      <c r="NU3">
        <f t="shared" si="14"/>
        <v>6</v>
      </c>
      <c r="NV3">
        <f t="shared" si="14"/>
        <v>3</v>
      </c>
      <c r="NW3">
        <f t="shared" si="14"/>
        <v>5</v>
      </c>
      <c r="NX3">
        <f t="shared" si="14"/>
        <v>5</v>
      </c>
      <c r="NY3">
        <f t="shared" si="14"/>
        <v>4</v>
      </c>
      <c r="NZ3">
        <f t="shared" si="14"/>
        <v>4</v>
      </c>
      <c r="OA3">
        <f t="shared" si="14"/>
        <v>6</v>
      </c>
      <c r="OB3">
        <f t="shared" si="14"/>
        <v>4</v>
      </c>
      <c r="OC3">
        <f t="shared" si="14"/>
        <v>5</v>
      </c>
      <c r="OD3">
        <f t="shared" ref="OD3:QO3" si="15">COUNT(OD5:OD72)</f>
        <v>5</v>
      </c>
      <c r="OE3">
        <f t="shared" si="15"/>
        <v>6</v>
      </c>
      <c r="OF3">
        <f t="shared" si="15"/>
        <v>5</v>
      </c>
      <c r="OG3">
        <f t="shared" si="15"/>
        <v>1</v>
      </c>
      <c r="OH3">
        <f t="shared" si="15"/>
        <v>4</v>
      </c>
      <c r="OI3">
        <f t="shared" si="15"/>
        <v>1</v>
      </c>
      <c r="OJ3">
        <f t="shared" si="15"/>
        <v>3</v>
      </c>
      <c r="OK3">
        <f t="shared" si="15"/>
        <v>4</v>
      </c>
      <c r="OL3">
        <f t="shared" si="15"/>
        <v>4</v>
      </c>
      <c r="OM3">
        <f t="shared" si="15"/>
        <v>4</v>
      </c>
      <c r="ON3">
        <f t="shared" si="15"/>
        <v>3</v>
      </c>
      <c r="OO3">
        <f t="shared" si="15"/>
        <v>3</v>
      </c>
      <c r="OP3">
        <f t="shared" si="15"/>
        <v>2</v>
      </c>
      <c r="OQ3">
        <f t="shared" si="15"/>
        <v>2</v>
      </c>
      <c r="OR3">
        <f t="shared" si="15"/>
        <v>6</v>
      </c>
      <c r="OS3">
        <f t="shared" si="15"/>
        <v>3</v>
      </c>
      <c r="OT3">
        <f t="shared" si="15"/>
        <v>2</v>
      </c>
      <c r="OU3">
        <f t="shared" si="15"/>
        <v>2</v>
      </c>
      <c r="OV3">
        <f t="shared" si="15"/>
        <v>4</v>
      </c>
      <c r="OW3">
        <f t="shared" si="15"/>
        <v>5</v>
      </c>
      <c r="OX3">
        <f t="shared" si="15"/>
        <v>5</v>
      </c>
      <c r="OY3">
        <f t="shared" si="15"/>
        <v>5</v>
      </c>
      <c r="OZ3">
        <f t="shared" si="15"/>
        <v>5</v>
      </c>
      <c r="PA3">
        <f t="shared" si="15"/>
        <v>6</v>
      </c>
      <c r="PB3">
        <f t="shared" si="15"/>
        <v>5</v>
      </c>
      <c r="PC3">
        <f t="shared" si="15"/>
        <v>6</v>
      </c>
      <c r="PD3">
        <f t="shared" si="15"/>
        <v>4</v>
      </c>
      <c r="PE3">
        <f t="shared" si="15"/>
        <v>4</v>
      </c>
      <c r="PF3">
        <f t="shared" si="15"/>
        <v>5</v>
      </c>
      <c r="PG3">
        <f t="shared" si="15"/>
        <v>3</v>
      </c>
      <c r="PH3">
        <f t="shared" si="15"/>
        <v>4</v>
      </c>
      <c r="PI3">
        <f t="shared" si="15"/>
        <v>5</v>
      </c>
      <c r="PJ3">
        <f t="shared" si="15"/>
        <v>4</v>
      </c>
      <c r="PK3">
        <f t="shared" si="15"/>
        <v>5</v>
      </c>
      <c r="PL3">
        <f t="shared" si="15"/>
        <v>5</v>
      </c>
      <c r="PM3">
        <f t="shared" si="15"/>
        <v>6</v>
      </c>
      <c r="PN3">
        <f t="shared" si="15"/>
        <v>5</v>
      </c>
      <c r="PO3">
        <f t="shared" si="15"/>
        <v>4</v>
      </c>
      <c r="PP3">
        <f t="shared" si="15"/>
        <v>4</v>
      </c>
      <c r="PQ3">
        <f t="shared" si="15"/>
        <v>3</v>
      </c>
      <c r="PR3">
        <f t="shared" si="15"/>
        <v>4</v>
      </c>
      <c r="PS3">
        <f t="shared" si="15"/>
        <v>4</v>
      </c>
      <c r="PT3">
        <f t="shared" si="15"/>
        <v>4</v>
      </c>
      <c r="PU3">
        <f t="shared" si="15"/>
        <v>7</v>
      </c>
      <c r="PV3">
        <f t="shared" si="15"/>
        <v>5</v>
      </c>
      <c r="PW3">
        <f t="shared" si="15"/>
        <v>7</v>
      </c>
      <c r="PX3">
        <f t="shared" si="15"/>
        <v>7</v>
      </c>
      <c r="PY3">
        <f t="shared" si="15"/>
        <v>5</v>
      </c>
      <c r="PZ3">
        <f t="shared" si="15"/>
        <v>7</v>
      </c>
      <c r="QA3">
        <f t="shared" si="15"/>
        <v>3</v>
      </c>
      <c r="QB3">
        <f t="shared" si="15"/>
        <v>7</v>
      </c>
      <c r="QC3">
        <f t="shared" si="15"/>
        <v>4</v>
      </c>
      <c r="QD3">
        <f t="shared" si="15"/>
        <v>7</v>
      </c>
      <c r="QE3">
        <f t="shared" si="15"/>
        <v>4</v>
      </c>
      <c r="QF3">
        <f t="shared" si="15"/>
        <v>4</v>
      </c>
      <c r="QG3">
        <f t="shared" si="15"/>
        <v>4</v>
      </c>
      <c r="QH3">
        <f t="shared" si="15"/>
        <v>5</v>
      </c>
      <c r="QI3">
        <f t="shared" si="15"/>
        <v>3</v>
      </c>
      <c r="QJ3">
        <f t="shared" si="15"/>
        <v>6</v>
      </c>
      <c r="QK3">
        <f t="shared" si="15"/>
        <v>5</v>
      </c>
      <c r="QL3">
        <f t="shared" si="15"/>
        <v>8</v>
      </c>
      <c r="QM3">
        <f t="shared" si="15"/>
        <v>7</v>
      </c>
      <c r="QN3">
        <f t="shared" si="15"/>
        <v>3</v>
      </c>
      <c r="QO3">
        <f t="shared" si="15"/>
        <v>5</v>
      </c>
      <c r="QP3">
        <f t="shared" ref="QP3:TA3" si="16">COUNT(QP5:QP72)</f>
        <v>2</v>
      </c>
      <c r="QQ3">
        <f t="shared" si="16"/>
        <v>2</v>
      </c>
      <c r="QR3">
        <f t="shared" si="16"/>
        <v>3</v>
      </c>
      <c r="QS3">
        <f t="shared" si="16"/>
        <v>5</v>
      </c>
      <c r="QT3">
        <f t="shared" si="16"/>
        <v>5</v>
      </c>
      <c r="QU3">
        <f t="shared" si="16"/>
        <v>5</v>
      </c>
      <c r="QV3">
        <f t="shared" si="16"/>
        <v>5</v>
      </c>
      <c r="QW3">
        <f t="shared" si="16"/>
        <v>5</v>
      </c>
      <c r="QX3">
        <f t="shared" si="16"/>
        <v>4</v>
      </c>
      <c r="QY3">
        <f t="shared" si="16"/>
        <v>5</v>
      </c>
      <c r="QZ3">
        <f t="shared" si="16"/>
        <v>3</v>
      </c>
      <c r="RA3">
        <f t="shared" si="16"/>
        <v>6</v>
      </c>
      <c r="RB3">
        <f t="shared" si="16"/>
        <v>3</v>
      </c>
      <c r="RC3">
        <f t="shared" si="16"/>
        <v>5</v>
      </c>
      <c r="RD3">
        <f t="shared" si="16"/>
        <v>6</v>
      </c>
      <c r="RE3">
        <f t="shared" si="16"/>
        <v>3</v>
      </c>
      <c r="RF3">
        <f t="shared" si="16"/>
        <v>7</v>
      </c>
      <c r="RG3">
        <f t="shared" si="16"/>
        <v>5</v>
      </c>
      <c r="RH3">
        <f t="shared" si="16"/>
        <v>6</v>
      </c>
      <c r="RI3">
        <f t="shared" si="16"/>
        <v>5</v>
      </c>
      <c r="RJ3">
        <f t="shared" si="16"/>
        <v>4</v>
      </c>
      <c r="RK3">
        <f t="shared" si="16"/>
        <v>5</v>
      </c>
      <c r="RL3">
        <f t="shared" si="16"/>
        <v>5</v>
      </c>
      <c r="RM3">
        <f t="shared" si="16"/>
        <v>2</v>
      </c>
      <c r="RN3">
        <f t="shared" si="16"/>
        <v>7</v>
      </c>
      <c r="RO3">
        <f t="shared" si="16"/>
        <v>2</v>
      </c>
      <c r="RP3">
        <f t="shared" si="16"/>
        <v>3</v>
      </c>
      <c r="RQ3">
        <f t="shared" si="16"/>
        <v>2</v>
      </c>
      <c r="RR3">
        <f t="shared" si="16"/>
        <v>2</v>
      </c>
      <c r="RS3">
        <f t="shared" si="16"/>
        <v>4</v>
      </c>
      <c r="RT3">
        <f t="shared" si="16"/>
        <v>5</v>
      </c>
      <c r="RU3">
        <f t="shared" si="16"/>
        <v>8</v>
      </c>
      <c r="RV3">
        <f t="shared" si="16"/>
        <v>4</v>
      </c>
      <c r="RW3">
        <f t="shared" si="16"/>
        <v>6</v>
      </c>
      <c r="RX3">
        <f t="shared" si="16"/>
        <v>5</v>
      </c>
      <c r="RY3">
        <f t="shared" si="16"/>
        <v>3</v>
      </c>
      <c r="RZ3">
        <f t="shared" si="16"/>
        <v>2</v>
      </c>
      <c r="SA3">
        <f t="shared" si="16"/>
        <v>3</v>
      </c>
      <c r="SB3">
        <f t="shared" si="16"/>
        <v>2</v>
      </c>
      <c r="SC3">
        <f t="shared" si="16"/>
        <v>5</v>
      </c>
      <c r="SD3">
        <f t="shared" si="16"/>
        <v>4</v>
      </c>
      <c r="SE3">
        <f t="shared" si="16"/>
        <v>6</v>
      </c>
      <c r="SF3">
        <f t="shared" si="16"/>
        <v>8</v>
      </c>
      <c r="SG3">
        <f t="shared" si="16"/>
        <v>7</v>
      </c>
      <c r="SH3">
        <f t="shared" si="16"/>
        <v>5</v>
      </c>
      <c r="SI3">
        <f t="shared" si="16"/>
        <v>6</v>
      </c>
      <c r="SJ3">
        <f t="shared" si="16"/>
        <v>4</v>
      </c>
      <c r="SK3">
        <f t="shared" si="16"/>
        <v>8</v>
      </c>
      <c r="SL3">
        <f t="shared" si="16"/>
        <v>2</v>
      </c>
      <c r="SM3">
        <f t="shared" si="16"/>
        <v>5</v>
      </c>
      <c r="SN3">
        <f t="shared" si="16"/>
        <v>7</v>
      </c>
      <c r="SO3">
        <f t="shared" si="16"/>
        <v>7</v>
      </c>
      <c r="SP3">
        <f t="shared" si="16"/>
        <v>5</v>
      </c>
      <c r="SQ3">
        <f t="shared" si="16"/>
        <v>5</v>
      </c>
      <c r="SR3">
        <f t="shared" si="16"/>
        <v>6</v>
      </c>
      <c r="SS3">
        <f t="shared" si="16"/>
        <v>5</v>
      </c>
      <c r="ST3">
        <f t="shared" si="16"/>
        <v>5</v>
      </c>
      <c r="SU3">
        <f t="shared" si="16"/>
        <v>3</v>
      </c>
      <c r="SV3">
        <f t="shared" si="16"/>
        <v>5</v>
      </c>
      <c r="SW3">
        <f t="shared" si="16"/>
        <v>1</v>
      </c>
      <c r="SX3">
        <f t="shared" si="16"/>
        <v>4</v>
      </c>
      <c r="SY3">
        <f t="shared" si="16"/>
        <v>5</v>
      </c>
      <c r="SZ3">
        <f t="shared" si="16"/>
        <v>6</v>
      </c>
      <c r="TA3">
        <f t="shared" si="16"/>
        <v>6</v>
      </c>
      <c r="TB3">
        <f t="shared" ref="TB3:VI3" si="17">COUNT(TB5:TB72)</f>
        <v>6</v>
      </c>
      <c r="TC3">
        <f t="shared" si="17"/>
        <v>6</v>
      </c>
      <c r="TD3">
        <f t="shared" si="17"/>
        <v>5</v>
      </c>
      <c r="TE3">
        <f t="shared" si="17"/>
        <v>7</v>
      </c>
      <c r="TF3">
        <f t="shared" si="17"/>
        <v>5</v>
      </c>
      <c r="TG3">
        <f t="shared" si="17"/>
        <v>7</v>
      </c>
      <c r="TH3">
        <f t="shared" si="17"/>
        <v>6</v>
      </c>
      <c r="TI3">
        <f t="shared" si="17"/>
        <v>7</v>
      </c>
      <c r="TJ3">
        <f t="shared" si="17"/>
        <v>8</v>
      </c>
      <c r="TK3">
        <f t="shared" si="17"/>
        <v>6</v>
      </c>
      <c r="TL3">
        <f t="shared" si="17"/>
        <v>3</v>
      </c>
      <c r="TM3">
        <f t="shared" si="17"/>
        <v>7</v>
      </c>
      <c r="TN3">
        <f t="shared" si="17"/>
        <v>7</v>
      </c>
      <c r="TO3">
        <f t="shared" si="17"/>
        <v>7</v>
      </c>
      <c r="TP3">
        <f t="shared" si="17"/>
        <v>8</v>
      </c>
      <c r="TQ3">
        <f t="shared" si="17"/>
        <v>9</v>
      </c>
      <c r="TR3">
        <f t="shared" si="17"/>
        <v>4</v>
      </c>
      <c r="TS3">
        <f t="shared" si="17"/>
        <v>4</v>
      </c>
      <c r="TT3">
        <f t="shared" si="17"/>
        <v>4</v>
      </c>
      <c r="TU3">
        <f t="shared" si="17"/>
        <v>4</v>
      </c>
      <c r="TV3">
        <f t="shared" si="17"/>
        <v>4</v>
      </c>
      <c r="TW3">
        <f t="shared" si="17"/>
        <v>5</v>
      </c>
      <c r="TX3">
        <f t="shared" si="17"/>
        <v>5</v>
      </c>
      <c r="TY3">
        <f t="shared" si="17"/>
        <v>3</v>
      </c>
      <c r="TZ3">
        <f t="shared" si="17"/>
        <v>4</v>
      </c>
      <c r="UA3">
        <f t="shared" si="17"/>
        <v>4</v>
      </c>
      <c r="UB3">
        <f t="shared" si="17"/>
        <v>3</v>
      </c>
      <c r="UC3">
        <f t="shared" si="17"/>
        <v>5</v>
      </c>
      <c r="UD3">
        <f t="shared" si="17"/>
        <v>4</v>
      </c>
      <c r="UE3">
        <f t="shared" si="17"/>
        <v>5</v>
      </c>
      <c r="UF3">
        <f t="shared" si="17"/>
        <v>4</v>
      </c>
      <c r="UG3">
        <f t="shared" si="17"/>
        <v>3</v>
      </c>
      <c r="UH3">
        <f t="shared" si="17"/>
        <v>5</v>
      </c>
      <c r="UI3">
        <f t="shared" si="17"/>
        <v>4</v>
      </c>
      <c r="UJ3">
        <f t="shared" si="17"/>
        <v>4</v>
      </c>
      <c r="UK3">
        <f t="shared" si="17"/>
        <v>4</v>
      </c>
      <c r="UL3">
        <f t="shared" si="17"/>
        <v>5</v>
      </c>
      <c r="UM3">
        <f t="shared" si="17"/>
        <v>5</v>
      </c>
      <c r="UN3">
        <f t="shared" si="17"/>
        <v>4</v>
      </c>
      <c r="UO3">
        <f t="shared" si="17"/>
        <v>5</v>
      </c>
      <c r="UP3">
        <f t="shared" si="17"/>
        <v>4</v>
      </c>
      <c r="UQ3">
        <f t="shared" si="17"/>
        <v>6</v>
      </c>
      <c r="UR3">
        <f t="shared" si="17"/>
        <v>4</v>
      </c>
      <c r="US3">
        <f t="shared" si="17"/>
        <v>5</v>
      </c>
      <c r="UT3">
        <f t="shared" si="17"/>
        <v>1</v>
      </c>
      <c r="UU3">
        <f t="shared" si="17"/>
        <v>6</v>
      </c>
      <c r="UV3">
        <f t="shared" si="17"/>
        <v>6</v>
      </c>
      <c r="UW3">
        <f t="shared" si="17"/>
        <v>3</v>
      </c>
      <c r="UX3">
        <f t="shared" si="17"/>
        <v>3</v>
      </c>
      <c r="UY3">
        <f t="shared" si="17"/>
        <v>4</v>
      </c>
      <c r="UZ3">
        <f t="shared" si="17"/>
        <v>4</v>
      </c>
      <c r="VA3">
        <f t="shared" si="17"/>
        <v>5</v>
      </c>
      <c r="VB3">
        <f t="shared" si="17"/>
        <v>3</v>
      </c>
      <c r="VC3">
        <f t="shared" si="17"/>
        <v>2</v>
      </c>
      <c r="VD3">
        <f t="shared" si="17"/>
        <v>5</v>
      </c>
      <c r="VE3">
        <f t="shared" si="17"/>
        <v>3</v>
      </c>
      <c r="VF3">
        <f t="shared" si="17"/>
        <v>5</v>
      </c>
      <c r="VG3">
        <f t="shared" si="17"/>
        <v>6</v>
      </c>
      <c r="VH3">
        <f t="shared" si="17"/>
        <v>6</v>
      </c>
      <c r="VI3">
        <f t="shared" si="17"/>
        <v>1</v>
      </c>
    </row>
    <row r="4" spans="1:581" s="1" customForma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1" t="s">
        <v>93</v>
      </c>
      <c r="CO4" s="1" t="s">
        <v>94</v>
      </c>
      <c r="CP4" s="1" t="s">
        <v>95</v>
      </c>
      <c r="CQ4" s="1" t="s">
        <v>96</v>
      </c>
      <c r="CR4" s="1" t="s">
        <v>97</v>
      </c>
      <c r="CS4" s="1" t="s">
        <v>98</v>
      </c>
      <c r="CT4" s="1" t="s">
        <v>99</v>
      </c>
      <c r="CU4" s="1" t="s">
        <v>100</v>
      </c>
      <c r="CV4" s="1" t="s">
        <v>101</v>
      </c>
      <c r="CW4" s="1" t="s">
        <v>102</v>
      </c>
      <c r="CX4" s="1" t="s">
        <v>103</v>
      </c>
      <c r="CY4" s="1" t="s">
        <v>104</v>
      </c>
      <c r="CZ4" s="1" t="s">
        <v>105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113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121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129</v>
      </c>
      <c r="DY4" s="1" t="s">
        <v>130</v>
      </c>
      <c r="DZ4" s="1" t="s">
        <v>131</v>
      </c>
      <c r="EA4" s="1" t="s">
        <v>132</v>
      </c>
      <c r="EB4" s="1" t="s">
        <v>133</v>
      </c>
      <c r="EC4" s="1" t="s">
        <v>134</v>
      </c>
      <c r="ED4" s="1" t="s">
        <v>135</v>
      </c>
      <c r="EE4" s="1" t="s">
        <v>136</v>
      </c>
      <c r="EF4" s="1" t="s">
        <v>137</v>
      </c>
      <c r="EG4" s="1" t="s">
        <v>138</v>
      </c>
      <c r="EH4" s="1" t="s">
        <v>139</v>
      </c>
      <c r="EI4" s="1" t="s">
        <v>140</v>
      </c>
      <c r="EJ4" s="1" t="s">
        <v>141</v>
      </c>
      <c r="EK4" s="1" t="s">
        <v>142</v>
      </c>
      <c r="EL4" s="1" t="s">
        <v>143</v>
      </c>
      <c r="EM4" s="1" t="s">
        <v>144</v>
      </c>
      <c r="EN4" s="1" t="s">
        <v>145</v>
      </c>
      <c r="EO4" s="1" t="s">
        <v>146</v>
      </c>
      <c r="EP4" s="1" t="s">
        <v>147</v>
      </c>
      <c r="EQ4" s="1" t="s">
        <v>148</v>
      </c>
      <c r="ER4" s="1" t="s">
        <v>149</v>
      </c>
      <c r="ES4" s="1" t="s">
        <v>150</v>
      </c>
      <c r="ET4" s="1" t="s">
        <v>151</v>
      </c>
      <c r="EU4" s="1" t="s">
        <v>152</v>
      </c>
      <c r="EV4" s="1" t="s">
        <v>153</v>
      </c>
      <c r="EW4" s="1" t="s">
        <v>154</v>
      </c>
      <c r="EX4" s="1" t="s">
        <v>155</v>
      </c>
      <c r="EY4" s="1" t="s">
        <v>156</v>
      </c>
      <c r="EZ4" s="1" t="s">
        <v>157</v>
      </c>
      <c r="FA4" s="1" t="s">
        <v>158</v>
      </c>
      <c r="FB4" s="1" t="s">
        <v>159</v>
      </c>
      <c r="FC4" s="1" t="s">
        <v>160</v>
      </c>
      <c r="FD4" s="1" t="s">
        <v>161</v>
      </c>
      <c r="FE4" s="1" t="s">
        <v>162</v>
      </c>
      <c r="FF4" s="1" t="s">
        <v>163</v>
      </c>
      <c r="FG4" s="1" t="s">
        <v>164</v>
      </c>
      <c r="FH4" s="1" t="s">
        <v>165</v>
      </c>
      <c r="FI4" s="1" t="s">
        <v>166</v>
      </c>
      <c r="FJ4" s="1" t="s">
        <v>167</v>
      </c>
      <c r="FK4" s="1" t="s">
        <v>168</v>
      </c>
      <c r="FL4" s="1" t="s">
        <v>169</v>
      </c>
      <c r="FM4" s="1" t="s">
        <v>170</v>
      </c>
      <c r="FN4" s="1" t="s">
        <v>171</v>
      </c>
      <c r="FO4" s="1" t="s">
        <v>172</v>
      </c>
      <c r="FP4" s="1" t="s">
        <v>173</v>
      </c>
      <c r="FQ4" s="1" t="s">
        <v>174</v>
      </c>
      <c r="FR4" s="1" t="s">
        <v>175</v>
      </c>
      <c r="FS4" s="1" t="s">
        <v>176</v>
      </c>
      <c r="FT4" s="1" t="s">
        <v>177</v>
      </c>
      <c r="FU4" s="1" t="s">
        <v>178</v>
      </c>
      <c r="FV4" s="1" t="s">
        <v>179</v>
      </c>
      <c r="FW4" s="1" t="s">
        <v>180</v>
      </c>
      <c r="FX4" s="1" t="s">
        <v>181</v>
      </c>
      <c r="FY4" s="1" t="s">
        <v>182</v>
      </c>
      <c r="FZ4" s="1" t="s">
        <v>183</v>
      </c>
      <c r="GA4" s="1" t="s">
        <v>184</v>
      </c>
      <c r="GB4" s="1" t="s">
        <v>185</v>
      </c>
      <c r="GC4" s="1" t="s">
        <v>186</v>
      </c>
      <c r="GD4" s="1" t="s">
        <v>187</v>
      </c>
      <c r="GE4" s="1" t="s">
        <v>188</v>
      </c>
      <c r="GF4" s="1" t="s">
        <v>189</v>
      </c>
      <c r="GG4" s="1" t="s">
        <v>190</v>
      </c>
      <c r="GH4" s="1" t="s">
        <v>191</v>
      </c>
      <c r="GI4" s="1" t="s">
        <v>192</v>
      </c>
      <c r="GJ4" s="1" t="s">
        <v>193</v>
      </c>
      <c r="GK4" s="1" t="s">
        <v>194</v>
      </c>
      <c r="GL4" s="1" t="s">
        <v>195</v>
      </c>
      <c r="GM4" s="1" t="s">
        <v>196</v>
      </c>
      <c r="GN4" s="1" t="s">
        <v>197</v>
      </c>
      <c r="GO4" s="1" t="s">
        <v>198</v>
      </c>
      <c r="GP4" s="1" t="s">
        <v>199</v>
      </c>
      <c r="GQ4" s="1" t="s">
        <v>200</v>
      </c>
      <c r="GR4" s="1" t="s">
        <v>201</v>
      </c>
      <c r="GS4" s="1" t="s">
        <v>202</v>
      </c>
      <c r="GT4" s="1" t="s">
        <v>203</v>
      </c>
      <c r="GU4" s="1" t="s">
        <v>204</v>
      </c>
      <c r="GV4" s="1" t="s">
        <v>205</v>
      </c>
      <c r="GW4" s="1" t="s">
        <v>206</v>
      </c>
      <c r="GX4" s="1" t="s">
        <v>207</v>
      </c>
      <c r="GY4" s="1" t="s">
        <v>208</v>
      </c>
      <c r="GZ4" s="1" t="s">
        <v>209</v>
      </c>
      <c r="HA4" s="1" t="s">
        <v>210</v>
      </c>
      <c r="HB4" s="1" t="s">
        <v>211</v>
      </c>
      <c r="HC4" s="1" t="s">
        <v>212</v>
      </c>
      <c r="HD4" s="1" t="s">
        <v>213</v>
      </c>
      <c r="HE4" s="1" t="s">
        <v>214</v>
      </c>
      <c r="HF4" s="1" t="s">
        <v>215</v>
      </c>
      <c r="HG4" s="1" t="s">
        <v>216</v>
      </c>
      <c r="HH4" s="1" t="s">
        <v>217</v>
      </c>
      <c r="HI4" s="1" t="s">
        <v>218</v>
      </c>
      <c r="HJ4" s="1" t="s">
        <v>219</v>
      </c>
      <c r="HK4" s="1" t="s">
        <v>220</v>
      </c>
      <c r="HL4" s="1" t="s">
        <v>221</v>
      </c>
      <c r="HM4" s="1" t="s">
        <v>222</v>
      </c>
      <c r="HN4" s="1" t="s">
        <v>223</v>
      </c>
      <c r="HO4" s="1" t="s">
        <v>224</v>
      </c>
      <c r="HP4" s="1" t="s">
        <v>225</v>
      </c>
      <c r="HQ4" s="1" t="s">
        <v>226</v>
      </c>
      <c r="HR4" s="1" t="s">
        <v>227</v>
      </c>
      <c r="HS4" s="1" t="s">
        <v>228</v>
      </c>
      <c r="HT4" s="1" t="s">
        <v>229</v>
      </c>
      <c r="HU4" s="1" t="s">
        <v>230</v>
      </c>
      <c r="HV4" s="1" t="s">
        <v>231</v>
      </c>
      <c r="HW4" s="1" t="s">
        <v>232</v>
      </c>
      <c r="HX4" s="1" t="s">
        <v>233</v>
      </c>
      <c r="HY4" s="1" t="s">
        <v>234</v>
      </c>
      <c r="HZ4" s="1" t="s">
        <v>235</v>
      </c>
      <c r="IA4" s="1" t="s">
        <v>236</v>
      </c>
      <c r="IB4" s="1" t="s">
        <v>237</v>
      </c>
      <c r="IC4" s="1" t="s">
        <v>238</v>
      </c>
      <c r="ID4" s="1" t="s">
        <v>239</v>
      </c>
      <c r="IE4" s="1" t="s">
        <v>240</v>
      </c>
      <c r="IF4" s="1" t="s">
        <v>241</v>
      </c>
      <c r="IG4" s="1" t="s">
        <v>242</v>
      </c>
      <c r="IH4" s="1" t="s">
        <v>243</v>
      </c>
      <c r="II4" s="1" t="s">
        <v>244</v>
      </c>
      <c r="IJ4" s="1" t="s">
        <v>245</v>
      </c>
      <c r="IK4" s="1" t="s">
        <v>246</v>
      </c>
      <c r="IL4" s="1" t="s">
        <v>247</v>
      </c>
      <c r="IM4" s="1" t="s">
        <v>248</v>
      </c>
      <c r="IN4" s="1" t="s">
        <v>249</v>
      </c>
      <c r="IO4" s="1" t="s">
        <v>250</v>
      </c>
      <c r="IP4" s="1" t="s">
        <v>251</v>
      </c>
      <c r="IQ4" s="1" t="s">
        <v>252</v>
      </c>
      <c r="IR4" s="1" t="s">
        <v>253</v>
      </c>
      <c r="IS4" s="1" t="s">
        <v>254</v>
      </c>
      <c r="IT4" s="1" t="s">
        <v>255</v>
      </c>
      <c r="IU4" s="1" t="s">
        <v>256</v>
      </c>
      <c r="IV4" s="1" t="s">
        <v>257</v>
      </c>
      <c r="IW4" s="1" t="s">
        <v>258</v>
      </c>
      <c r="IX4" s="1" t="s">
        <v>259</v>
      </c>
      <c r="IY4" s="1" t="s">
        <v>260</v>
      </c>
      <c r="IZ4" s="1" t="s">
        <v>261</v>
      </c>
      <c r="JA4" s="1" t="s">
        <v>262</v>
      </c>
      <c r="JB4" s="1" t="s">
        <v>263</v>
      </c>
      <c r="JC4" s="1" t="s">
        <v>264</v>
      </c>
      <c r="JD4" s="1" t="s">
        <v>265</v>
      </c>
      <c r="JE4" s="1" t="s">
        <v>266</v>
      </c>
      <c r="JF4" s="1" t="s">
        <v>267</v>
      </c>
      <c r="JG4" s="1" t="s">
        <v>268</v>
      </c>
      <c r="JH4" s="1" t="s">
        <v>269</v>
      </c>
      <c r="JI4" s="1" t="s">
        <v>270</v>
      </c>
      <c r="JJ4" s="1" t="s">
        <v>271</v>
      </c>
      <c r="JK4" s="1" t="s">
        <v>272</v>
      </c>
      <c r="JL4" s="1" t="s">
        <v>273</v>
      </c>
      <c r="JM4" s="1" t="s">
        <v>274</v>
      </c>
      <c r="JN4" s="1" t="s">
        <v>275</v>
      </c>
      <c r="JO4" s="1" t="s">
        <v>276</v>
      </c>
      <c r="JP4" s="1" t="s">
        <v>277</v>
      </c>
      <c r="JQ4" s="1" t="s">
        <v>278</v>
      </c>
      <c r="JR4" s="1" t="s">
        <v>786</v>
      </c>
      <c r="JS4" s="1" t="s">
        <v>772</v>
      </c>
      <c r="JT4" s="1" t="s">
        <v>773</v>
      </c>
      <c r="JU4" s="1" t="s">
        <v>774</v>
      </c>
      <c r="JV4" s="1" t="s">
        <v>775</v>
      </c>
      <c r="JW4" s="1" t="s">
        <v>776</v>
      </c>
      <c r="JX4" s="1" t="s">
        <v>777</v>
      </c>
      <c r="JY4" s="1" t="s">
        <v>778</v>
      </c>
      <c r="JZ4" s="1" t="s">
        <v>779</v>
      </c>
      <c r="KA4" s="1" t="s">
        <v>780</v>
      </c>
      <c r="KB4" s="1" t="s">
        <v>781</v>
      </c>
      <c r="KC4" s="1" t="s">
        <v>782</v>
      </c>
      <c r="KD4" s="1" t="s">
        <v>783</v>
      </c>
      <c r="KE4" s="1" t="s">
        <v>784</v>
      </c>
      <c r="KF4" s="1" t="s">
        <v>785</v>
      </c>
      <c r="KG4" s="1" t="s">
        <v>279</v>
      </c>
      <c r="KH4" s="1" t="s">
        <v>280</v>
      </c>
      <c r="KI4" s="1" t="s">
        <v>281</v>
      </c>
      <c r="KJ4" s="1" t="s">
        <v>282</v>
      </c>
      <c r="KK4" s="1" t="s">
        <v>283</v>
      </c>
      <c r="KL4" s="1" t="s">
        <v>284</v>
      </c>
      <c r="KM4" s="1" t="s">
        <v>285</v>
      </c>
      <c r="KN4" s="1" t="s">
        <v>286</v>
      </c>
      <c r="KO4" s="1" t="s">
        <v>287</v>
      </c>
      <c r="KP4" s="1" t="s">
        <v>288</v>
      </c>
      <c r="KQ4" s="1" t="s">
        <v>289</v>
      </c>
      <c r="KR4" s="1" t="s">
        <v>290</v>
      </c>
      <c r="KS4" s="1" t="s">
        <v>291</v>
      </c>
      <c r="KT4" s="1" t="s">
        <v>292</v>
      </c>
      <c r="KU4" s="1" t="s">
        <v>293</v>
      </c>
      <c r="KV4" s="1" t="s">
        <v>294</v>
      </c>
      <c r="KW4" s="1" t="s">
        <v>295</v>
      </c>
      <c r="KX4" s="1" t="s">
        <v>296</v>
      </c>
      <c r="KY4" s="1" t="s">
        <v>297</v>
      </c>
      <c r="KZ4" s="1" t="s">
        <v>298</v>
      </c>
      <c r="LA4" s="1" t="s">
        <v>299</v>
      </c>
      <c r="LB4" s="1" t="s">
        <v>300</v>
      </c>
      <c r="LC4" s="1" t="s">
        <v>301</v>
      </c>
      <c r="LD4" s="1" t="s">
        <v>302</v>
      </c>
      <c r="LE4" s="1" t="s">
        <v>303</v>
      </c>
      <c r="LF4" s="1" t="s">
        <v>304</v>
      </c>
      <c r="LG4" s="1" t="s">
        <v>305</v>
      </c>
      <c r="LH4" s="1" t="s">
        <v>306</v>
      </c>
      <c r="LI4" s="1" t="s">
        <v>307</v>
      </c>
      <c r="LJ4" s="1" t="s">
        <v>308</v>
      </c>
      <c r="LK4" s="1" t="s">
        <v>309</v>
      </c>
      <c r="LL4" s="1" t="s">
        <v>310</v>
      </c>
      <c r="LM4" s="1" t="s">
        <v>311</v>
      </c>
      <c r="LN4" s="1" t="s">
        <v>312</v>
      </c>
      <c r="LO4" s="1" t="s">
        <v>313</v>
      </c>
      <c r="LP4" s="1" t="s">
        <v>314</v>
      </c>
      <c r="LQ4" s="1" t="s">
        <v>315</v>
      </c>
      <c r="LR4" s="1" t="s">
        <v>316</v>
      </c>
      <c r="LS4" s="1" t="s">
        <v>317</v>
      </c>
      <c r="LT4" s="1" t="s">
        <v>318</v>
      </c>
      <c r="LU4" s="1" t="s">
        <v>319</v>
      </c>
      <c r="LV4" s="1" t="s">
        <v>320</v>
      </c>
      <c r="LW4" s="1" t="s">
        <v>321</v>
      </c>
      <c r="LX4" s="1" t="s">
        <v>322</v>
      </c>
      <c r="LY4" s="1" t="s">
        <v>323</v>
      </c>
      <c r="LZ4" s="1" t="s">
        <v>324</v>
      </c>
      <c r="MA4" s="1" t="s">
        <v>325</v>
      </c>
      <c r="MB4" s="1" t="s">
        <v>760</v>
      </c>
      <c r="MC4" s="1" t="s">
        <v>761</v>
      </c>
      <c r="MD4" s="1" t="s">
        <v>762</v>
      </c>
      <c r="ME4" s="1" t="s">
        <v>326</v>
      </c>
      <c r="MF4" s="1" t="s">
        <v>327</v>
      </c>
      <c r="MG4" s="1" t="s">
        <v>328</v>
      </c>
      <c r="MH4" s="1" t="s">
        <v>329</v>
      </c>
      <c r="MI4" s="1" t="s">
        <v>330</v>
      </c>
      <c r="MJ4" s="1" t="s">
        <v>331</v>
      </c>
      <c r="MK4" s="1" t="s">
        <v>766</v>
      </c>
      <c r="ML4" s="1" t="s">
        <v>767</v>
      </c>
      <c r="MM4" s="1" t="s">
        <v>332</v>
      </c>
      <c r="MN4" s="1" t="s">
        <v>333</v>
      </c>
      <c r="MO4" s="1" t="s">
        <v>334</v>
      </c>
      <c r="MP4" s="1" t="s">
        <v>335</v>
      </c>
      <c r="MQ4" s="1" t="s">
        <v>336</v>
      </c>
      <c r="MR4" s="1" t="s">
        <v>337</v>
      </c>
      <c r="MS4" s="1" t="s">
        <v>338</v>
      </c>
      <c r="MT4" s="1" t="s">
        <v>339</v>
      </c>
      <c r="MU4" s="1" t="s">
        <v>340</v>
      </c>
      <c r="MV4" s="1" t="s">
        <v>341</v>
      </c>
      <c r="MW4" s="1" t="s">
        <v>342</v>
      </c>
      <c r="MX4" s="1" t="s">
        <v>343</v>
      </c>
      <c r="MY4" s="1" t="s">
        <v>344</v>
      </c>
      <c r="MZ4" s="1" t="s">
        <v>345</v>
      </c>
      <c r="NA4" s="1" t="s">
        <v>346</v>
      </c>
      <c r="NB4" s="1" t="s">
        <v>347</v>
      </c>
      <c r="NC4" s="1" t="s">
        <v>348</v>
      </c>
      <c r="ND4" s="1" t="s">
        <v>349</v>
      </c>
      <c r="NE4" s="1" t="s">
        <v>350</v>
      </c>
      <c r="NF4" s="1" t="s">
        <v>351</v>
      </c>
      <c r="NG4" s="1" t="s">
        <v>352</v>
      </c>
      <c r="NH4" s="1" t="s">
        <v>353</v>
      </c>
      <c r="NI4" s="1" t="s">
        <v>354</v>
      </c>
      <c r="NJ4" s="1" t="s">
        <v>355</v>
      </c>
      <c r="NK4" s="1" t="s">
        <v>356</v>
      </c>
      <c r="NL4" s="1" t="s">
        <v>357</v>
      </c>
      <c r="NM4" s="1" t="s">
        <v>768</v>
      </c>
      <c r="NN4" s="1" t="s">
        <v>769</v>
      </c>
      <c r="NO4" s="1" t="s">
        <v>770</v>
      </c>
      <c r="NP4" s="1" t="s">
        <v>771</v>
      </c>
      <c r="NQ4" s="3" t="s">
        <v>358</v>
      </c>
      <c r="NR4" s="1" t="s">
        <v>359</v>
      </c>
      <c r="NS4" s="1" t="s">
        <v>360</v>
      </c>
      <c r="NT4" s="1" t="s">
        <v>361</v>
      </c>
      <c r="NU4" s="1" t="s">
        <v>362</v>
      </c>
      <c r="NV4" s="1" t="s">
        <v>363</v>
      </c>
      <c r="NW4" s="1" t="s">
        <v>364</v>
      </c>
      <c r="NX4" s="1" t="s">
        <v>365</v>
      </c>
      <c r="NY4" s="1" t="s">
        <v>366</v>
      </c>
      <c r="NZ4" s="1" t="s">
        <v>367</v>
      </c>
      <c r="OA4" s="1" t="s">
        <v>368</v>
      </c>
      <c r="OB4" s="1" t="s">
        <v>369</v>
      </c>
      <c r="OC4" s="1" t="s">
        <v>370</v>
      </c>
      <c r="OD4" s="1" t="s">
        <v>371</v>
      </c>
      <c r="OE4" s="1" t="s">
        <v>372</v>
      </c>
      <c r="OF4" s="1" t="s">
        <v>373</v>
      </c>
      <c r="OG4" s="1" t="s">
        <v>374</v>
      </c>
      <c r="OH4" s="1" t="s">
        <v>375</v>
      </c>
      <c r="OI4" s="1" t="s">
        <v>376</v>
      </c>
      <c r="OJ4" s="1" t="s">
        <v>377</v>
      </c>
      <c r="OK4" s="1" t="s">
        <v>378</v>
      </c>
      <c r="OL4" s="1" t="s">
        <v>379</v>
      </c>
      <c r="OM4" s="1" t="s">
        <v>380</v>
      </c>
      <c r="ON4" s="1" t="s">
        <v>381</v>
      </c>
      <c r="OO4" s="1" t="s">
        <v>382</v>
      </c>
      <c r="OP4" s="1" t="s">
        <v>383</v>
      </c>
      <c r="OQ4" s="1" t="s">
        <v>384</v>
      </c>
      <c r="OR4" s="1" t="s">
        <v>385</v>
      </c>
      <c r="OS4" s="1" t="s">
        <v>386</v>
      </c>
      <c r="OT4" s="1" t="s">
        <v>387</v>
      </c>
      <c r="OU4" s="1" t="s">
        <v>388</v>
      </c>
      <c r="OV4" s="1" t="s">
        <v>389</v>
      </c>
      <c r="OW4" s="1" t="s">
        <v>390</v>
      </c>
      <c r="OX4" s="1" t="s">
        <v>391</v>
      </c>
      <c r="OY4" s="1" t="s">
        <v>392</v>
      </c>
      <c r="OZ4" s="1" t="s">
        <v>393</v>
      </c>
      <c r="PA4" s="1" t="s">
        <v>394</v>
      </c>
      <c r="PB4" s="1" t="s">
        <v>395</v>
      </c>
      <c r="PC4" s="1" t="s">
        <v>396</v>
      </c>
      <c r="PD4" s="1" t="s">
        <v>397</v>
      </c>
      <c r="PE4" s="1" t="s">
        <v>398</v>
      </c>
      <c r="PF4" s="1" t="s">
        <v>399</v>
      </c>
      <c r="PG4" s="1" t="s">
        <v>400</v>
      </c>
      <c r="PH4" s="1" t="s">
        <v>401</v>
      </c>
      <c r="PI4" s="1" t="s">
        <v>402</v>
      </c>
      <c r="PJ4" s="1" t="s">
        <v>403</v>
      </c>
      <c r="PK4" s="1" t="s">
        <v>404</v>
      </c>
      <c r="PL4" s="1" t="s">
        <v>405</v>
      </c>
      <c r="PM4" s="1" t="s">
        <v>406</v>
      </c>
      <c r="PN4" s="1" t="s">
        <v>407</v>
      </c>
      <c r="PO4" s="1" t="s">
        <v>408</v>
      </c>
      <c r="PP4" s="1" t="s">
        <v>409</v>
      </c>
      <c r="PQ4" s="1" t="s">
        <v>410</v>
      </c>
      <c r="PR4" s="1" t="s">
        <v>411</v>
      </c>
      <c r="PS4" s="1" t="s">
        <v>412</v>
      </c>
      <c r="PT4" s="1" t="s">
        <v>413</v>
      </c>
      <c r="PU4" s="1" t="s">
        <v>414</v>
      </c>
      <c r="PV4" s="1" t="s">
        <v>415</v>
      </c>
      <c r="PW4" s="1" t="s">
        <v>416</v>
      </c>
      <c r="PX4" s="1" t="s">
        <v>417</v>
      </c>
      <c r="PY4" s="1" t="s">
        <v>418</v>
      </c>
      <c r="PZ4" s="1" t="s">
        <v>419</v>
      </c>
      <c r="QA4" s="1" t="s">
        <v>420</v>
      </c>
      <c r="QB4" s="1" t="s">
        <v>421</v>
      </c>
      <c r="QC4" s="1" t="s">
        <v>422</v>
      </c>
      <c r="QD4" s="1" t="s">
        <v>423</v>
      </c>
      <c r="QE4" s="1" t="s">
        <v>424</v>
      </c>
      <c r="QF4" s="1" t="s">
        <v>425</v>
      </c>
      <c r="QG4" s="1" t="s">
        <v>426</v>
      </c>
      <c r="QH4" s="1" t="s">
        <v>427</v>
      </c>
      <c r="QI4" s="1" t="s">
        <v>428</v>
      </c>
      <c r="QJ4" s="1" t="s">
        <v>429</v>
      </c>
      <c r="QK4" s="1" t="s">
        <v>430</v>
      </c>
      <c r="QL4" s="1" t="s">
        <v>431</v>
      </c>
      <c r="QM4" s="1" t="s">
        <v>432</v>
      </c>
      <c r="QN4" s="1" t="s">
        <v>433</v>
      </c>
      <c r="QO4" s="1" t="s">
        <v>434</v>
      </c>
      <c r="QP4" s="1" t="s">
        <v>435</v>
      </c>
      <c r="QQ4" s="1" t="s">
        <v>436</v>
      </c>
      <c r="QR4" s="1" t="s">
        <v>437</v>
      </c>
      <c r="QS4" s="1" t="s">
        <v>438</v>
      </c>
      <c r="QT4" s="1" t="s">
        <v>439</v>
      </c>
      <c r="QU4" s="1" t="s">
        <v>440</v>
      </c>
      <c r="QV4" s="1" t="s">
        <v>441</v>
      </c>
      <c r="QW4" s="1" t="s">
        <v>442</v>
      </c>
      <c r="QX4" s="1" t="s">
        <v>443</v>
      </c>
      <c r="QY4" s="1" t="s">
        <v>444</v>
      </c>
      <c r="QZ4" s="1" t="s">
        <v>445</v>
      </c>
      <c r="RA4" s="1" t="s">
        <v>446</v>
      </c>
      <c r="RB4" s="1" t="s">
        <v>447</v>
      </c>
      <c r="RC4" s="1" t="s">
        <v>448</v>
      </c>
      <c r="RD4" s="1" t="s">
        <v>449</v>
      </c>
      <c r="RE4" s="1" t="s">
        <v>450</v>
      </c>
      <c r="RF4" s="1" t="s">
        <v>451</v>
      </c>
      <c r="RG4" s="1" t="s">
        <v>452</v>
      </c>
      <c r="RH4" s="1" t="s">
        <v>453</v>
      </c>
      <c r="RI4" s="1" t="s">
        <v>454</v>
      </c>
      <c r="RJ4" s="1" t="s">
        <v>455</v>
      </c>
      <c r="RK4" s="1" t="s">
        <v>456</v>
      </c>
      <c r="RL4" s="1" t="s">
        <v>457</v>
      </c>
      <c r="RM4" s="1" t="s">
        <v>458</v>
      </c>
      <c r="RN4" s="1" t="s">
        <v>459</v>
      </c>
      <c r="RO4" s="1" t="s">
        <v>460</v>
      </c>
      <c r="RP4" s="1" t="s">
        <v>461</v>
      </c>
      <c r="RQ4" s="1" t="s">
        <v>462</v>
      </c>
      <c r="RR4" s="1" t="s">
        <v>463</v>
      </c>
      <c r="RS4" s="1" t="s">
        <v>464</v>
      </c>
      <c r="RT4" s="1" t="s">
        <v>465</v>
      </c>
      <c r="RU4" s="1" t="s">
        <v>466</v>
      </c>
      <c r="RV4" s="1" t="s">
        <v>763</v>
      </c>
      <c r="RW4" s="1" t="s">
        <v>764</v>
      </c>
      <c r="RX4" s="1" t="s">
        <v>765</v>
      </c>
      <c r="RY4" s="1" t="s">
        <v>467</v>
      </c>
      <c r="RZ4" s="1" t="s">
        <v>468</v>
      </c>
      <c r="SA4" s="1" t="s">
        <v>469</v>
      </c>
      <c r="SB4" s="1" t="s">
        <v>470</v>
      </c>
      <c r="SC4" s="1" t="s">
        <v>471</v>
      </c>
      <c r="SD4" s="1" t="s">
        <v>472</v>
      </c>
      <c r="SE4" s="1" t="s">
        <v>473</v>
      </c>
      <c r="SF4" s="1" t="s">
        <v>474</v>
      </c>
      <c r="SG4" s="1" t="s">
        <v>475</v>
      </c>
      <c r="SH4" s="1" t="s">
        <v>476</v>
      </c>
      <c r="SI4" s="1" t="s">
        <v>477</v>
      </c>
      <c r="SJ4" s="1" t="s">
        <v>478</v>
      </c>
      <c r="SK4" s="1" t="s">
        <v>479</v>
      </c>
      <c r="SL4" s="1" t="s">
        <v>480</v>
      </c>
      <c r="SM4" s="1" t="s">
        <v>481</v>
      </c>
      <c r="SN4" s="1" t="s">
        <v>482</v>
      </c>
      <c r="SO4" s="1" t="s">
        <v>483</v>
      </c>
      <c r="SP4" s="1" t="s">
        <v>484</v>
      </c>
      <c r="SQ4" s="1" t="s">
        <v>485</v>
      </c>
      <c r="SR4" s="1" t="s">
        <v>486</v>
      </c>
      <c r="SS4" s="1" t="s">
        <v>487</v>
      </c>
      <c r="ST4" s="1" t="s">
        <v>488</v>
      </c>
      <c r="SU4" s="1" t="s">
        <v>489</v>
      </c>
      <c r="SV4" s="1" t="s">
        <v>490</v>
      </c>
      <c r="SW4" s="1" t="s">
        <v>491</v>
      </c>
      <c r="SX4" s="1" t="s">
        <v>492</v>
      </c>
      <c r="SY4" s="1" t="s">
        <v>493</v>
      </c>
      <c r="SZ4" s="1" t="s">
        <v>494</v>
      </c>
      <c r="TA4" s="1" t="s">
        <v>495</v>
      </c>
      <c r="TB4" s="1" t="s">
        <v>496</v>
      </c>
      <c r="TC4" s="1" t="s">
        <v>497</v>
      </c>
      <c r="TD4" s="1" t="s">
        <v>498</v>
      </c>
      <c r="TE4" s="1" t="s">
        <v>499</v>
      </c>
      <c r="TF4" s="1" t="s">
        <v>500</v>
      </c>
      <c r="TG4" s="1" t="s">
        <v>501</v>
      </c>
      <c r="TH4" s="1" t="s">
        <v>502</v>
      </c>
      <c r="TI4" s="1" t="s">
        <v>503</v>
      </c>
      <c r="TJ4" s="1" t="s">
        <v>504</v>
      </c>
      <c r="TK4" s="1" t="s">
        <v>505</v>
      </c>
      <c r="TL4" s="1" t="s">
        <v>506</v>
      </c>
      <c r="TM4" s="1" t="s">
        <v>507</v>
      </c>
      <c r="TN4" s="1" t="s">
        <v>508</v>
      </c>
      <c r="TO4" s="1" t="s">
        <v>509</v>
      </c>
      <c r="TP4" s="1" t="s">
        <v>510</v>
      </c>
      <c r="TQ4" s="1" t="s">
        <v>511</v>
      </c>
      <c r="TR4" s="1" t="s">
        <v>512</v>
      </c>
      <c r="TS4" s="1" t="s">
        <v>513</v>
      </c>
      <c r="TT4" s="1" t="s">
        <v>514</v>
      </c>
      <c r="TU4" s="1" t="s">
        <v>515</v>
      </c>
      <c r="TV4" s="1" t="s">
        <v>516</v>
      </c>
      <c r="TW4" s="1" t="s">
        <v>517</v>
      </c>
      <c r="TX4" s="1" t="s">
        <v>518</v>
      </c>
      <c r="TY4" s="1" t="s">
        <v>519</v>
      </c>
      <c r="TZ4" s="1" t="s">
        <v>520</v>
      </c>
      <c r="UA4" s="1" t="s">
        <v>521</v>
      </c>
      <c r="UB4" s="1" t="s">
        <v>522</v>
      </c>
      <c r="UC4" s="1" t="s">
        <v>523</v>
      </c>
      <c r="UD4" s="1" t="s">
        <v>524</v>
      </c>
      <c r="UE4" s="1" t="s">
        <v>525</v>
      </c>
      <c r="UF4" s="1" t="s">
        <v>526</v>
      </c>
      <c r="UG4" s="1" t="s">
        <v>527</v>
      </c>
      <c r="UH4" s="1" t="s">
        <v>528</v>
      </c>
      <c r="UI4" s="1" t="s">
        <v>529</v>
      </c>
      <c r="UJ4" s="1" t="s">
        <v>530</v>
      </c>
      <c r="UK4" s="1" t="s">
        <v>531</v>
      </c>
      <c r="UL4" s="1" t="s">
        <v>532</v>
      </c>
      <c r="UM4" s="1" t="s">
        <v>533</v>
      </c>
      <c r="UN4" s="1" t="s">
        <v>534</v>
      </c>
      <c r="UO4" s="1" t="s">
        <v>535</v>
      </c>
      <c r="UP4" s="1" t="s">
        <v>536</v>
      </c>
      <c r="UQ4" s="1" t="s">
        <v>537</v>
      </c>
      <c r="UR4" s="1" t="s">
        <v>538</v>
      </c>
      <c r="US4" s="1" t="s">
        <v>539</v>
      </c>
      <c r="UT4" s="1" t="s">
        <v>540</v>
      </c>
      <c r="UU4" s="1" t="s">
        <v>541</v>
      </c>
      <c r="UV4" s="1" t="s">
        <v>542</v>
      </c>
      <c r="UW4" s="1" t="s">
        <v>543</v>
      </c>
      <c r="UX4" s="1" t="s">
        <v>544</v>
      </c>
      <c r="UY4" s="1" t="s">
        <v>545</v>
      </c>
      <c r="UZ4" s="1" t="s">
        <v>546</v>
      </c>
      <c r="VA4" s="1" t="s">
        <v>547</v>
      </c>
      <c r="VB4" s="1" t="s">
        <v>548</v>
      </c>
      <c r="VC4" s="1" t="s">
        <v>549</v>
      </c>
      <c r="VD4" s="1" t="s">
        <v>550</v>
      </c>
      <c r="VE4" s="1" t="s">
        <v>551</v>
      </c>
      <c r="VF4" s="1" t="s">
        <v>552</v>
      </c>
      <c r="VG4" s="1" t="s">
        <v>553</v>
      </c>
      <c r="VH4" s="1" t="s">
        <v>554</v>
      </c>
      <c r="VI4" s="1" t="s">
        <v>555</v>
      </c>
    </row>
    <row r="5" spans="1:581" x14ac:dyDescent="0.2">
      <c r="A5" t="s">
        <v>556</v>
      </c>
      <c r="B5" t="s">
        <v>557</v>
      </c>
      <c r="C5">
        <v>269</v>
      </c>
      <c r="D5">
        <f t="shared" ref="D5:D30" si="18">SUM(J5:VI5)</f>
        <v>141195</v>
      </c>
      <c r="E5">
        <f t="shared" ref="E5:E30" si="19">COUNT(J5:VI5)</f>
        <v>483</v>
      </c>
      <c r="F5">
        <v>12.26</v>
      </c>
      <c r="G5">
        <v>43.5</v>
      </c>
      <c r="H5">
        <v>3</v>
      </c>
      <c r="I5" s="1" t="s">
        <v>558</v>
      </c>
      <c r="L5">
        <f>11+13</f>
        <v>24</v>
      </c>
      <c r="M5">
        <f>15+14</f>
        <v>29</v>
      </c>
      <c r="O5">
        <f>15+23</f>
        <v>38</v>
      </c>
      <c r="P5">
        <f>11+9</f>
        <v>20</v>
      </c>
      <c r="Q5">
        <f>10+9</f>
        <v>19</v>
      </c>
      <c r="S5">
        <f>9+11</f>
        <v>20</v>
      </c>
      <c r="T5">
        <f>16+6</f>
        <v>22</v>
      </c>
      <c r="U5">
        <f>6+6</f>
        <v>12</v>
      </c>
      <c r="V5">
        <f>20+17</f>
        <v>37</v>
      </c>
      <c r="X5">
        <f>6+6</f>
        <v>12</v>
      </c>
      <c r="Y5">
        <f>6+4</f>
        <v>10</v>
      </c>
      <c r="Z5">
        <f>20+17</f>
        <v>37</v>
      </c>
      <c r="AA5">
        <f>8+10</f>
        <v>18</v>
      </c>
      <c r="AB5">
        <f>7+11</f>
        <v>18</v>
      </c>
      <c r="AC5">
        <f>6+11</f>
        <v>17</v>
      </c>
      <c r="AD5">
        <f>14+6</f>
        <v>20</v>
      </c>
      <c r="AE5">
        <f>6+11</f>
        <v>17</v>
      </c>
      <c r="AG5">
        <f>21+15</f>
        <v>36</v>
      </c>
      <c r="AH5">
        <f>13+9</f>
        <v>22</v>
      </c>
      <c r="AI5">
        <f>12+9</f>
        <v>21</v>
      </c>
      <c r="AJ5">
        <f>10+13</f>
        <v>23</v>
      </c>
      <c r="AK5">
        <f>5+8</f>
        <v>13</v>
      </c>
      <c r="AL5">
        <f>13+17</f>
        <v>30</v>
      </c>
      <c r="AM5">
        <f>16+25</f>
        <v>41</v>
      </c>
      <c r="AN5">
        <f>17+25</f>
        <v>42</v>
      </c>
      <c r="AO5">
        <f>9+10</f>
        <v>19</v>
      </c>
      <c r="AP5">
        <f>10+8</f>
        <v>18</v>
      </c>
      <c r="AS5">
        <f>16+12</f>
        <v>28</v>
      </c>
      <c r="AT5">
        <f>10+10</f>
        <v>20</v>
      </c>
      <c r="AU5">
        <f>6+5</f>
        <v>11</v>
      </c>
      <c r="AV5">
        <f>11+11</f>
        <v>22</v>
      </c>
      <c r="AW5">
        <f>6+6</f>
        <v>12</v>
      </c>
      <c r="AZ5">
        <f>10+12</f>
        <v>22</v>
      </c>
      <c r="BA5">
        <f>12+8</f>
        <v>20</v>
      </c>
      <c r="BB5">
        <f>15+8</f>
        <v>23</v>
      </c>
      <c r="BC5">
        <f>18+11</f>
        <v>29</v>
      </c>
      <c r="BD5">
        <f>6+3</f>
        <v>9</v>
      </c>
      <c r="BE5">
        <f>9+8</f>
        <v>17</v>
      </c>
      <c r="BG5">
        <f>13+17</f>
        <v>30</v>
      </c>
      <c r="BH5">
        <f>12+14</f>
        <v>26</v>
      </c>
      <c r="BI5">
        <f>6+3</f>
        <v>9</v>
      </c>
      <c r="BJ5">
        <f>9+11</f>
        <v>20</v>
      </c>
      <c r="BK5">
        <f>4+0</f>
        <v>4</v>
      </c>
      <c r="BM5">
        <f>7+12</f>
        <v>19</v>
      </c>
      <c r="BN5">
        <f>19+14</f>
        <v>33</v>
      </c>
      <c r="BQ5">
        <f>7+4</f>
        <v>11</v>
      </c>
      <c r="BR5">
        <f>7+12</f>
        <v>19</v>
      </c>
      <c r="BU5">
        <f>10+9</f>
        <v>19</v>
      </c>
      <c r="BV5">
        <f>6+8</f>
        <v>14</v>
      </c>
      <c r="BW5">
        <f>12+15</f>
        <v>27</v>
      </c>
      <c r="BX5">
        <f>16+20</f>
        <v>36</v>
      </c>
      <c r="BY5">
        <f>8+12</f>
        <v>20</v>
      </c>
      <c r="BZ5">
        <f>5+8</f>
        <v>13</v>
      </c>
      <c r="CA5">
        <f>4+0</f>
        <v>4</v>
      </c>
      <c r="CB5">
        <f>21+23</f>
        <v>44</v>
      </c>
      <c r="CE5">
        <f>10+16</f>
        <v>26</v>
      </c>
      <c r="CF5">
        <f>15+8</f>
        <v>23</v>
      </c>
      <c r="CG5">
        <f>17+19</f>
        <v>36</v>
      </c>
      <c r="CH5">
        <f>8+10</f>
        <v>18</v>
      </c>
      <c r="CK5">
        <f>5+12</f>
        <v>17</v>
      </c>
      <c r="CL5">
        <f>9+11</f>
        <v>20</v>
      </c>
      <c r="CM5">
        <f>17+13</f>
        <v>30</v>
      </c>
      <c r="CN5">
        <f>10+16</f>
        <v>26</v>
      </c>
      <c r="CP5">
        <f>8+9</f>
        <v>17</v>
      </c>
      <c r="CQ5">
        <f>5+4</f>
        <v>9</v>
      </c>
      <c r="CR5">
        <f>16+21</f>
        <v>37</v>
      </c>
      <c r="CS5">
        <f>17+17</f>
        <v>34</v>
      </c>
      <c r="CT5">
        <f>7+9</f>
        <v>16</v>
      </c>
      <c r="CU5">
        <f>7+2</f>
        <v>9</v>
      </c>
      <c r="CV5">
        <f>5+9</f>
        <v>14</v>
      </c>
      <c r="CW5">
        <f>6+6</f>
        <v>12</v>
      </c>
      <c r="CY5">
        <f>7+10</f>
        <v>17</v>
      </c>
      <c r="CZ5">
        <f>19+18</f>
        <v>37</v>
      </c>
      <c r="DA5">
        <f>16+18</f>
        <v>34</v>
      </c>
      <c r="DC5">
        <f>9+10</f>
        <v>19</v>
      </c>
      <c r="DD5">
        <f>20+24</f>
        <v>44</v>
      </c>
      <c r="DE5">
        <f>7+10</f>
        <v>17</v>
      </c>
      <c r="DF5">
        <f>14+18</f>
        <v>32</v>
      </c>
      <c r="DG5">
        <f>8+7</f>
        <v>15</v>
      </c>
      <c r="DH5">
        <f>173+140</f>
        <v>313</v>
      </c>
      <c r="DI5">
        <f>244+229</f>
        <v>473</v>
      </c>
      <c r="DK5">
        <f>141+119</f>
        <v>260</v>
      </c>
      <c r="DL5">
        <f>292+242</f>
        <v>534</v>
      </c>
      <c r="DM5">
        <f>130+116</f>
        <v>246</v>
      </c>
      <c r="DN5">
        <f>251+237</f>
        <v>488</v>
      </c>
      <c r="DO5">
        <f>392+345</f>
        <v>737</v>
      </c>
      <c r="DP5">
        <f>233+185</f>
        <v>418</v>
      </c>
      <c r="DQ5">
        <f>95+67</f>
        <v>162</v>
      </c>
      <c r="DR5">
        <f>165+169</f>
        <v>334</v>
      </c>
      <c r="DS5">
        <f>133+125</f>
        <v>258</v>
      </c>
      <c r="DT5">
        <f>64+115</f>
        <v>179</v>
      </c>
      <c r="DU5">
        <f>290+301</f>
        <v>591</v>
      </c>
      <c r="DV5">
        <f>240+210</f>
        <v>450</v>
      </c>
      <c r="DW5">
        <f>267+261</f>
        <v>528</v>
      </c>
      <c r="DX5">
        <f>270+248</f>
        <v>518</v>
      </c>
      <c r="DY5">
        <f>129+112</f>
        <v>241</v>
      </c>
      <c r="DZ5">
        <f>279+260</f>
        <v>539</v>
      </c>
      <c r="EA5">
        <f>230+154</f>
        <v>384</v>
      </c>
      <c r="EB5">
        <f>435+323</f>
        <v>758</v>
      </c>
      <c r="EC5">
        <f>205+150</f>
        <v>355</v>
      </c>
      <c r="ED5">
        <f>79+71</f>
        <v>150</v>
      </c>
      <c r="EE5">
        <f>185+172</f>
        <v>357</v>
      </c>
      <c r="EF5">
        <f>229+169</f>
        <v>398</v>
      </c>
      <c r="EG5">
        <f>150+287</f>
        <v>437</v>
      </c>
      <c r="EH5">
        <f>307+371</f>
        <v>678</v>
      </c>
      <c r="EI5">
        <f>360+470</f>
        <v>830</v>
      </c>
      <c r="EJ5">
        <f>365+397</f>
        <v>762</v>
      </c>
      <c r="EK5">
        <f>215+213</f>
        <v>428</v>
      </c>
      <c r="EL5">
        <f>152+182</f>
        <v>334</v>
      </c>
      <c r="EM5">
        <f>263+220</f>
        <v>483</v>
      </c>
      <c r="ER5">
        <f>176+147</f>
        <v>323</v>
      </c>
      <c r="EV5">
        <f>129+88</f>
        <v>217</v>
      </c>
      <c r="EW5">
        <f>146+171</f>
        <v>317</v>
      </c>
      <c r="EX5">
        <f>146+115</f>
        <v>261</v>
      </c>
      <c r="EY5">
        <f>197+252</f>
        <v>449</v>
      </c>
      <c r="EZ5">
        <f>294+345</f>
        <v>639</v>
      </c>
      <c r="FB5">
        <f>195+145</f>
        <v>340</v>
      </c>
      <c r="FC5">
        <f>136+145</f>
        <v>281</v>
      </c>
      <c r="FH5">
        <f>221+195</f>
        <v>416</v>
      </c>
      <c r="FI5">
        <f>178+153</f>
        <v>331</v>
      </c>
      <c r="FJ5">
        <f>96+80</f>
        <v>176</v>
      </c>
      <c r="FK5">
        <f>362+389</f>
        <v>751</v>
      </c>
      <c r="FL5">
        <f>305+258</f>
        <v>563</v>
      </c>
      <c r="FM5">
        <f>299+292</f>
        <v>591</v>
      </c>
      <c r="FN5">
        <f>162+215</f>
        <v>377</v>
      </c>
      <c r="FO5">
        <f>318+355</f>
        <v>673</v>
      </c>
      <c r="FP5">
        <f>497+377</f>
        <v>874</v>
      </c>
      <c r="FQ5">
        <f>228+206</f>
        <v>434</v>
      </c>
      <c r="FR5">
        <f>365+309</f>
        <v>674</v>
      </c>
      <c r="FS5">
        <f>14+9</f>
        <v>23</v>
      </c>
      <c r="FT5">
        <f>164+110</f>
        <v>274</v>
      </c>
      <c r="FU5">
        <f>291+308</f>
        <v>599</v>
      </c>
      <c r="FV5">
        <f>336+390</f>
        <v>726</v>
      </c>
      <c r="FW5">
        <f>22+12</f>
        <v>34</v>
      </c>
      <c r="FX5">
        <f>45+28</f>
        <v>73</v>
      </c>
      <c r="FY5">
        <f>8+3</f>
        <v>11</v>
      </c>
      <c r="FZ5">
        <f>47+56</f>
        <v>103</v>
      </c>
      <c r="GA5">
        <f>108+146</f>
        <v>254</v>
      </c>
      <c r="GC5">
        <f>89+106</f>
        <v>195</v>
      </c>
      <c r="GD5">
        <f>64+44</f>
        <v>108</v>
      </c>
      <c r="GE5">
        <f>10+28</f>
        <v>38</v>
      </c>
      <c r="GG5">
        <f>12+13</f>
        <v>25</v>
      </c>
      <c r="GH5">
        <f>43+32</f>
        <v>75</v>
      </c>
      <c r="GJ5">
        <f>53+42</f>
        <v>95</v>
      </c>
      <c r="GK5">
        <f>43+41</f>
        <v>84</v>
      </c>
      <c r="GL5">
        <f>16+23</f>
        <v>39</v>
      </c>
      <c r="GM5">
        <f>68+66</f>
        <v>134</v>
      </c>
      <c r="GN5">
        <f>19+35</f>
        <v>54</v>
      </c>
      <c r="GO5">
        <f>47+45</f>
        <v>92</v>
      </c>
      <c r="GQ5">
        <f>64+91</f>
        <v>155</v>
      </c>
      <c r="GR5">
        <f>81+80</f>
        <v>161</v>
      </c>
      <c r="GS5">
        <f>50+44</f>
        <v>94</v>
      </c>
      <c r="GT5">
        <f>45+51</f>
        <v>96</v>
      </c>
      <c r="GU5">
        <f>86+137</f>
        <v>223</v>
      </c>
      <c r="GV5">
        <f>283+295</f>
        <v>578</v>
      </c>
      <c r="GX5">
        <f>633+659</f>
        <v>1292</v>
      </c>
      <c r="GY5">
        <f>122+117</f>
        <v>239</v>
      </c>
      <c r="HA5">
        <f>146+218</f>
        <v>364</v>
      </c>
      <c r="HB5">
        <f>417+549</f>
        <v>966</v>
      </c>
      <c r="HC5">
        <f>201+263</f>
        <v>464</v>
      </c>
      <c r="HD5">
        <f>415+601</f>
        <v>1016</v>
      </c>
      <c r="HF5">
        <f>404+314</f>
        <v>718</v>
      </c>
      <c r="HG5">
        <f>137+189</f>
        <v>326</v>
      </c>
      <c r="HH5">
        <f>232+154</f>
        <v>386</v>
      </c>
      <c r="HI5">
        <f>189+224</f>
        <v>413</v>
      </c>
      <c r="HJ5">
        <f>180+157</f>
        <v>337</v>
      </c>
      <c r="HK5">
        <f>461+344</f>
        <v>805</v>
      </c>
      <c r="HL5">
        <f>233+327</f>
        <v>560</v>
      </c>
      <c r="HM5">
        <f>340+548</f>
        <v>888</v>
      </c>
      <c r="HN5">
        <f>222+319</f>
        <v>541</v>
      </c>
      <c r="HO5">
        <f>50+88</f>
        <v>138</v>
      </c>
      <c r="HP5">
        <f>19+33</f>
        <v>52</v>
      </c>
      <c r="HQ5">
        <f>331+380</f>
        <v>711</v>
      </c>
      <c r="HR5">
        <f>462+412</f>
        <v>874</v>
      </c>
      <c r="HS5">
        <f>36+92</f>
        <v>128</v>
      </c>
      <c r="HT5">
        <f>80+80</f>
        <v>160</v>
      </c>
      <c r="HU5">
        <f>22+78</f>
        <v>100</v>
      </c>
      <c r="HV5">
        <f>46+138</f>
        <v>184</v>
      </c>
      <c r="HW5">
        <f>40+105</f>
        <v>145</v>
      </c>
      <c r="HX5">
        <f>18+74</f>
        <v>92</v>
      </c>
      <c r="HY5">
        <f>60+176</f>
        <v>236</v>
      </c>
      <c r="HZ5">
        <f>41+77</f>
        <v>118</v>
      </c>
      <c r="IA5">
        <f>37+111</f>
        <v>148</v>
      </c>
      <c r="IB5">
        <f>19+56</f>
        <v>75</v>
      </c>
      <c r="IC5">
        <f>18+35</f>
        <v>53</v>
      </c>
      <c r="ID5">
        <f>36+69</f>
        <v>105</v>
      </c>
      <c r="IE5">
        <f>16+39</f>
        <v>55</v>
      </c>
      <c r="IG5">
        <f>89+120</f>
        <v>209</v>
      </c>
      <c r="IH5">
        <f>126+134</f>
        <v>260</v>
      </c>
      <c r="II5">
        <f>65+67</f>
        <v>132</v>
      </c>
      <c r="IJ5">
        <f>68+73</f>
        <v>141</v>
      </c>
      <c r="IL5">
        <f>118+121</f>
        <v>239</v>
      </c>
      <c r="IM5">
        <f>131+111</f>
        <v>242</v>
      </c>
      <c r="IN5">
        <f>165+160</f>
        <v>325</v>
      </c>
      <c r="IO5">
        <f>206+195</f>
        <v>401</v>
      </c>
      <c r="IP5">
        <f>251+300</f>
        <v>551</v>
      </c>
      <c r="IQ5">
        <f>79+97</f>
        <v>176</v>
      </c>
      <c r="IR5">
        <f>89+137</f>
        <v>226</v>
      </c>
      <c r="IT5">
        <f>74+79</f>
        <v>153</v>
      </c>
      <c r="IU5">
        <f>247+232</f>
        <v>479</v>
      </c>
      <c r="IV5">
        <f>119+161</f>
        <v>280</v>
      </c>
      <c r="IW5">
        <f>20+9</f>
        <v>29</v>
      </c>
      <c r="IX5">
        <f>40+62</f>
        <v>102</v>
      </c>
      <c r="IY5">
        <f>9+7</f>
        <v>16</v>
      </c>
      <c r="IZ5">
        <f>279+431</f>
        <v>710</v>
      </c>
      <c r="JA5">
        <f>737+587</f>
        <v>1324</v>
      </c>
      <c r="JB5">
        <f>165+111</f>
        <v>276</v>
      </c>
      <c r="JC5">
        <f>356+300</f>
        <v>656</v>
      </c>
      <c r="JD5">
        <f>109+171</f>
        <v>280</v>
      </c>
      <c r="JE5">
        <f>511+328</f>
        <v>839</v>
      </c>
      <c r="JF5">
        <f>731+451</f>
        <v>1182</v>
      </c>
      <c r="JG5">
        <f>10+35</f>
        <v>45</v>
      </c>
      <c r="JH5">
        <f>213+459</f>
        <v>672</v>
      </c>
      <c r="JI5">
        <f>8+3</f>
        <v>11</v>
      </c>
      <c r="JJ5">
        <f>163+336</f>
        <v>499</v>
      </c>
      <c r="JK5">
        <f>8+26</f>
        <v>34</v>
      </c>
      <c r="JL5">
        <f>5+9</f>
        <v>14</v>
      </c>
      <c r="JM5">
        <f>14+19</f>
        <v>33</v>
      </c>
      <c r="JO5">
        <f>206+378</f>
        <v>584</v>
      </c>
      <c r="JP5">
        <f>48+118</f>
        <v>166</v>
      </c>
      <c r="JQ5">
        <f>486+462</f>
        <v>948</v>
      </c>
      <c r="JR5">
        <f>528+372</f>
        <v>900</v>
      </c>
      <c r="JS5">
        <f>209+211</f>
        <v>420</v>
      </c>
      <c r="JT5">
        <f>242+173</f>
        <v>415</v>
      </c>
      <c r="JU5">
        <f>136+219</f>
        <v>355</v>
      </c>
      <c r="JW5">
        <f>63+49</f>
        <v>112</v>
      </c>
      <c r="JX5">
        <f>70+57</f>
        <v>127</v>
      </c>
      <c r="JY5">
        <f>73+49</f>
        <v>122</v>
      </c>
      <c r="JZ5">
        <f>31+30</f>
        <v>61</v>
      </c>
      <c r="KA5">
        <f>82+59</f>
        <v>141</v>
      </c>
      <c r="KB5">
        <f>213+139</f>
        <v>352</v>
      </c>
      <c r="KC5">
        <f>147+157</f>
        <v>304</v>
      </c>
      <c r="KD5">
        <f>75+75</f>
        <v>150</v>
      </c>
      <c r="KE5">
        <f>265+228</f>
        <v>493</v>
      </c>
      <c r="KF5">
        <f>169+124</f>
        <v>293</v>
      </c>
      <c r="KG5">
        <f>173+130</f>
        <v>303</v>
      </c>
      <c r="KH5">
        <f>396+264</f>
        <v>660</v>
      </c>
      <c r="KK5">
        <f>171+130</f>
        <v>301</v>
      </c>
      <c r="KL5">
        <f>90+66</f>
        <v>156</v>
      </c>
      <c r="KM5">
        <f>158+156</f>
        <v>314</v>
      </c>
      <c r="KN5">
        <f>599+341</f>
        <v>940</v>
      </c>
      <c r="KO5">
        <f>67+53</f>
        <v>120</v>
      </c>
      <c r="KP5">
        <f>153+96</f>
        <v>249</v>
      </c>
      <c r="KQ5">
        <f>113+127</f>
        <v>240</v>
      </c>
      <c r="KR5">
        <f>18+22</f>
        <v>40</v>
      </c>
      <c r="KS5">
        <f>21+25</f>
        <v>46</v>
      </c>
      <c r="KT5">
        <f>74+71</f>
        <v>145</v>
      </c>
      <c r="KU5">
        <f>58+66</f>
        <v>124</v>
      </c>
      <c r="KV5">
        <f>13+9</f>
        <v>22</v>
      </c>
      <c r="KX5">
        <f>19+22</f>
        <v>41</v>
      </c>
      <c r="KY5">
        <f>22+14</f>
        <v>36</v>
      </c>
      <c r="KZ5">
        <f>29+63</f>
        <v>92</v>
      </c>
      <c r="LB5">
        <f>39+43</f>
        <v>82</v>
      </c>
      <c r="LC5">
        <f>13+6</f>
        <v>19</v>
      </c>
      <c r="LD5">
        <f>87+108</f>
        <v>195</v>
      </c>
      <c r="LF5">
        <f>147+176</f>
        <v>323</v>
      </c>
      <c r="LG5">
        <f>245+214</f>
        <v>459</v>
      </c>
      <c r="LH5">
        <f>166+164</f>
        <v>330</v>
      </c>
      <c r="LI5">
        <f>130+100</f>
        <v>230</v>
      </c>
      <c r="LJ5">
        <f>184+187</f>
        <v>371</v>
      </c>
      <c r="LK5">
        <f>173+233</f>
        <v>406</v>
      </c>
      <c r="LL5">
        <f>120+157</f>
        <v>277</v>
      </c>
      <c r="LM5">
        <f>164+170</f>
        <v>334</v>
      </c>
      <c r="LN5">
        <f>9+12</f>
        <v>21</v>
      </c>
      <c r="LO5">
        <f>324+344</f>
        <v>668</v>
      </c>
      <c r="LP5">
        <f>239+229</f>
        <v>468</v>
      </c>
      <c r="LQ5">
        <f>410+381</f>
        <v>791</v>
      </c>
      <c r="LR5">
        <f>207+144</f>
        <v>351</v>
      </c>
      <c r="LS5">
        <f>111+117</f>
        <v>228</v>
      </c>
      <c r="LU5">
        <f>66+48</f>
        <v>114</v>
      </c>
      <c r="LW5">
        <f>406+455</f>
        <v>861</v>
      </c>
      <c r="LX5">
        <f>130+60</f>
        <v>190</v>
      </c>
      <c r="MA5">
        <f>16+7</f>
        <v>23</v>
      </c>
      <c r="MB5">
        <f>73+54</f>
        <v>127</v>
      </c>
      <c r="MC5">
        <f>136+157</f>
        <v>293</v>
      </c>
      <c r="MD5">
        <f>274+221</f>
        <v>495</v>
      </c>
      <c r="ME5">
        <f>347+245</f>
        <v>592</v>
      </c>
      <c r="MF5">
        <f>198+163</f>
        <v>361</v>
      </c>
      <c r="MG5">
        <f>270+214</f>
        <v>484</v>
      </c>
      <c r="MH5">
        <f>229+193</f>
        <v>422</v>
      </c>
      <c r="MI5">
        <f>161+111</f>
        <v>272</v>
      </c>
      <c r="MJ5">
        <f>64+56</f>
        <v>120</v>
      </c>
      <c r="MK5">
        <f>373+459</f>
        <v>832</v>
      </c>
      <c r="ML5">
        <f>285+164</f>
        <v>449</v>
      </c>
      <c r="MM5">
        <f>277+390</f>
        <v>667</v>
      </c>
      <c r="MN5">
        <f>82+99</f>
        <v>181</v>
      </c>
      <c r="MO5">
        <f>62+44</f>
        <v>106</v>
      </c>
      <c r="MQ5">
        <f>33+24</f>
        <v>57</v>
      </c>
      <c r="MR5">
        <f>179+276</f>
        <v>455</v>
      </c>
      <c r="MT5">
        <f>13+12</f>
        <v>25</v>
      </c>
      <c r="MU5">
        <f>114+113</f>
        <v>227</v>
      </c>
      <c r="MV5">
        <f>68+84</f>
        <v>152</v>
      </c>
      <c r="MW5">
        <f>28+68</f>
        <v>96</v>
      </c>
      <c r="MX5">
        <f>39+82</f>
        <v>121</v>
      </c>
      <c r="MY5">
        <f>27+45</f>
        <v>72</v>
      </c>
      <c r="MZ5">
        <f>15+30</f>
        <v>45</v>
      </c>
      <c r="NA5">
        <f>24+42</f>
        <v>66</v>
      </c>
      <c r="NB5">
        <f>6+20</f>
        <v>26</v>
      </c>
      <c r="NC5">
        <f>42+145</f>
        <v>187</v>
      </c>
      <c r="ND5">
        <f>17+48</f>
        <v>65</v>
      </c>
      <c r="NE5">
        <f>39+53</f>
        <v>92</v>
      </c>
      <c r="NF5">
        <f>24+43</f>
        <v>67</v>
      </c>
      <c r="NG5">
        <f>125+73</f>
        <v>198</v>
      </c>
      <c r="NI5">
        <f>25+12</f>
        <v>37</v>
      </c>
      <c r="NJ5">
        <f>5+13</f>
        <v>18</v>
      </c>
      <c r="NL5">
        <f>7+22</f>
        <v>29</v>
      </c>
      <c r="NM5">
        <f>137+250</f>
        <v>387</v>
      </c>
      <c r="NN5">
        <f>210+351</f>
        <v>561</v>
      </c>
      <c r="NO5">
        <f>120+174</f>
        <v>294</v>
      </c>
      <c r="NP5">
        <f>336+557</f>
        <v>893</v>
      </c>
      <c r="NQ5" s="2">
        <f>309+266</f>
        <v>575</v>
      </c>
      <c r="NR5">
        <f>124+92</f>
        <v>216</v>
      </c>
      <c r="NS5">
        <f>146+112</f>
        <v>258</v>
      </c>
      <c r="NT5">
        <f>204+255</f>
        <v>459</v>
      </c>
      <c r="NU5">
        <f>144+112</f>
        <v>256</v>
      </c>
      <c r="NV5">
        <f>745+574</f>
        <v>1319</v>
      </c>
      <c r="NW5">
        <f>418+260</f>
        <v>678</v>
      </c>
      <c r="NY5">
        <f>371+325</f>
        <v>696</v>
      </c>
      <c r="NZ5">
        <f>321+263</f>
        <v>584</v>
      </c>
      <c r="OA5">
        <f>911+456</f>
        <v>1367</v>
      </c>
      <c r="OB5">
        <f>566+384</f>
        <v>950</v>
      </c>
      <c r="OC5">
        <f>215+91</f>
        <v>306</v>
      </c>
      <c r="OD5">
        <f>202+131</f>
        <v>333</v>
      </c>
      <c r="OE5">
        <f>166+155</f>
        <v>321</v>
      </c>
      <c r="OF5">
        <f>433+355</f>
        <v>788</v>
      </c>
      <c r="OG5">
        <f>167+211</f>
        <v>378</v>
      </c>
      <c r="OH5">
        <f>271+300</f>
        <v>571</v>
      </c>
      <c r="OI5">
        <f>149+235</f>
        <v>384</v>
      </c>
      <c r="OJ5">
        <f>720+800</f>
        <v>1520</v>
      </c>
      <c r="OK5">
        <f>402+358</f>
        <v>760</v>
      </c>
      <c r="OM5">
        <f>40+53</f>
        <v>93</v>
      </c>
      <c r="ON5">
        <f>241+326</f>
        <v>567</v>
      </c>
      <c r="OO5">
        <f>289+262</f>
        <v>551</v>
      </c>
      <c r="OP5">
        <f>424+338</f>
        <v>762</v>
      </c>
      <c r="OQ5">
        <f>175+204</f>
        <v>379</v>
      </c>
      <c r="OR5">
        <f>130+295</f>
        <v>425</v>
      </c>
      <c r="OS5">
        <f>419+431</f>
        <v>850</v>
      </c>
      <c r="OT5">
        <f>262+306</f>
        <v>568</v>
      </c>
      <c r="OU5">
        <f>244+304</f>
        <v>548</v>
      </c>
      <c r="OV5">
        <f>315+407</f>
        <v>722</v>
      </c>
      <c r="OW5">
        <f>243+214</f>
        <v>457</v>
      </c>
      <c r="OX5">
        <f>206+160</f>
        <v>366</v>
      </c>
      <c r="OY5">
        <f>154+347</f>
        <v>501</v>
      </c>
      <c r="PA5">
        <f>14+28</f>
        <v>42</v>
      </c>
      <c r="PB5">
        <f>123+102</f>
        <v>225</v>
      </c>
      <c r="PC5">
        <f>69+79</f>
        <v>148</v>
      </c>
      <c r="PD5">
        <f>190+227</f>
        <v>417</v>
      </c>
      <c r="PE5">
        <f>96+70</f>
        <v>166</v>
      </c>
      <c r="PF5">
        <f>68+65</f>
        <v>133</v>
      </c>
      <c r="PG5">
        <f>38+49</f>
        <v>87</v>
      </c>
      <c r="PH5">
        <f>542+511</f>
        <v>1053</v>
      </c>
      <c r="PI5">
        <f>323+185</f>
        <v>508</v>
      </c>
      <c r="PJ5">
        <f>521+358</f>
        <v>879</v>
      </c>
      <c r="PK5">
        <f>123+73</f>
        <v>196</v>
      </c>
      <c r="PL5">
        <f>86+78</f>
        <v>164</v>
      </c>
      <c r="PO5">
        <f>187+225</f>
        <v>412</v>
      </c>
      <c r="PP5">
        <f>51+34</f>
        <v>85</v>
      </c>
      <c r="PQ5">
        <f>177+308</f>
        <v>485</v>
      </c>
      <c r="PR5">
        <f>104+109</f>
        <v>213</v>
      </c>
      <c r="PS5">
        <f>1356+819</f>
        <v>2175</v>
      </c>
      <c r="PV5">
        <f>312+276</f>
        <v>588</v>
      </c>
      <c r="PZ5">
        <f>427+396</f>
        <v>823</v>
      </c>
      <c r="QA5">
        <f>256+414</f>
        <v>670</v>
      </c>
      <c r="QB5">
        <f>87+108</f>
        <v>195</v>
      </c>
      <c r="QD5">
        <f>76+89</f>
        <v>165</v>
      </c>
      <c r="QE5">
        <f>263+416</f>
        <v>679</v>
      </c>
      <c r="QF5">
        <f>359+372</f>
        <v>731</v>
      </c>
      <c r="QG5">
        <f>19+19</f>
        <v>38</v>
      </c>
      <c r="QH5">
        <f>58+82</f>
        <v>140</v>
      </c>
      <c r="QI5">
        <f>49+72</f>
        <v>121</v>
      </c>
      <c r="QJ5">
        <f>24+23</f>
        <v>47</v>
      </c>
      <c r="QK5">
        <f>25+17</f>
        <v>42</v>
      </c>
      <c r="QL5">
        <f>39+10</f>
        <v>49</v>
      </c>
      <c r="QM5">
        <f>88+47</f>
        <v>135</v>
      </c>
      <c r="QN5">
        <f>107+81</f>
        <v>188</v>
      </c>
      <c r="QO5">
        <f>34+46</f>
        <v>80</v>
      </c>
      <c r="QP5">
        <f>44+68</f>
        <v>112</v>
      </c>
      <c r="QQ5">
        <f>20+20</f>
        <v>40</v>
      </c>
      <c r="QR5">
        <f>80+89</f>
        <v>169</v>
      </c>
      <c r="QT5">
        <f>38+49</f>
        <v>87</v>
      </c>
      <c r="QU5">
        <f>49+33</f>
        <v>82</v>
      </c>
      <c r="QV5">
        <f>18+13</f>
        <v>31</v>
      </c>
      <c r="QW5">
        <f>27+19</f>
        <v>46</v>
      </c>
      <c r="QX5">
        <f>55+76</f>
        <v>131</v>
      </c>
      <c r="RA5">
        <f>170+102</f>
        <v>272</v>
      </c>
      <c r="RB5">
        <f>20+31</f>
        <v>51</v>
      </c>
      <c r="RE5">
        <f>747+666</f>
        <v>1413</v>
      </c>
      <c r="RG5">
        <f>50+41</f>
        <v>91</v>
      </c>
      <c r="RH5">
        <f>85+73</f>
        <v>158</v>
      </c>
      <c r="RI5">
        <f>311+302</f>
        <v>613</v>
      </c>
      <c r="RL5">
        <f>39+43</f>
        <v>82</v>
      </c>
      <c r="RM5">
        <f>35+85</f>
        <v>120</v>
      </c>
      <c r="RN5">
        <f>20+21</f>
        <v>41</v>
      </c>
      <c r="RO5">
        <f>45+141</f>
        <v>186</v>
      </c>
      <c r="RP5">
        <f>38+147</f>
        <v>185</v>
      </c>
      <c r="RQ5">
        <f>30+102</f>
        <v>132</v>
      </c>
      <c r="RR5">
        <f>21+44</f>
        <v>65</v>
      </c>
      <c r="RS5">
        <f>203+490</f>
        <v>693</v>
      </c>
      <c r="RT5">
        <f>212+389</f>
        <v>601</v>
      </c>
      <c r="RU5">
        <f>163+301</f>
        <v>464</v>
      </c>
      <c r="RV5">
        <f>272+290</f>
        <v>562</v>
      </c>
      <c r="RW5">
        <f>260+204</f>
        <v>464</v>
      </c>
      <c r="RX5">
        <f>201+192</f>
        <v>393</v>
      </c>
      <c r="RY5">
        <f>7+7</f>
        <v>14</v>
      </c>
      <c r="SA5">
        <f>247+130</f>
        <v>377</v>
      </c>
      <c r="SB5">
        <f>6+2</f>
        <v>8</v>
      </c>
      <c r="SC5">
        <f>99+74</f>
        <v>173</v>
      </c>
      <c r="SD5">
        <f>19+22</f>
        <v>41</v>
      </c>
      <c r="SE5">
        <f>154+119</f>
        <v>273</v>
      </c>
      <c r="SF5">
        <f>8+4</f>
        <v>12</v>
      </c>
      <c r="SG5">
        <f>35+41</f>
        <v>76</v>
      </c>
      <c r="SH5">
        <f>52+26</f>
        <v>78</v>
      </c>
      <c r="SJ5">
        <f>14+11</f>
        <v>25</v>
      </c>
      <c r="SK5">
        <f>102+179</f>
        <v>281</v>
      </c>
      <c r="SN5">
        <f>17+7</f>
        <v>24</v>
      </c>
      <c r="SO5">
        <f>92+69</f>
        <v>161</v>
      </c>
      <c r="SP5">
        <f>225+240</f>
        <v>465</v>
      </c>
      <c r="SQ5">
        <f>74+32</f>
        <v>106</v>
      </c>
      <c r="SR5">
        <f>12+2</f>
        <v>14</v>
      </c>
      <c r="SS5">
        <f>41+59</f>
        <v>100</v>
      </c>
      <c r="ST5">
        <f>121+253</f>
        <v>374</v>
      </c>
      <c r="SU5">
        <f>6+3</f>
        <v>9</v>
      </c>
      <c r="SV5">
        <f>173+351</f>
        <v>524</v>
      </c>
      <c r="SW5">
        <f>11+21</f>
        <v>32</v>
      </c>
      <c r="SX5">
        <f>9+6</f>
        <v>15</v>
      </c>
      <c r="SY5">
        <f>127+124</f>
        <v>251</v>
      </c>
      <c r="SZ5">
        <f>23+28</f>
        <v>51</v>
      </c>
      <c r="TA5">
        <f>20+19</f>
        <v>39</v>
      </c>
      <c r="TD5">
        <f>420+391</f>
        <v>811</v>
      </c>
      <c r="TE5">
        <f>404+467</f>
        <v>871</v>
      </c>
      <c r="TF5">
        <f>205+296</f>
        <v>501</v>
      </c>
      <c r="TG5">
        <f>122+119</f>
        <v>241</v>
      </c>
      <c r="TH5">
        <f>384+464</f>
        <v>848</v>
      </c>
      <c r="TI5">
        <f>104+127</f>
        <v>231</v>
      </c>
      <c r="TJ5">
        <f>124+122</f>
        <v>246</v>
      </c>
      <c r="TK5">
        <f>291+360</f>
        <v>651</v>
      </c>
      <c r="TL5">
        <f>193+254</f>
        <v>447</v>
      </c>
      <c r="TM5">
        <f>35+32</f>
        <v>67</v>
      </c>
      <c r="TN5">
        <f>55+77</f>
        <v>132</v>
      </c>
      <c r="TO5">
        <f>43+33</f>
        <v>76</v>
      </c>
      <c r="TP5">
        <f>37+60</f>
        <v>97</v>
      </c>
      <c r="TQ5">
        <f>135+131</f>
        <v>266</v>
      </c>
      <c r="TR5">
        <f>214+191</f>
        <v>405</v>
      </c>
      <c r="TS5">
        <f>168+176</f>
        <v>344</v>
      </c>
      <c r="TT5">
        <f>152+173</f>
        <v>325</v>
      </c>
      <c r="TU5">
        <f>269+254</f>
        <v>523</v>
      </c>
      <c r="TV5">
        <f>199+189</f>
        <v>388</v>
      </c>
      <c r="TW5">
        <f>158+157</f>
        <v>315</v>
      </c>
      <c r="TX5">
        <f>94+101</f>
        <v>195</v>
      </c>
      <c r="TZ5">
        <f>389+337</f>
        <v>726</v>
      </c>
      <c r="UA5">
        <f>294+266</f>
        <v>560</v>
      </c>
      <c r="UB5">
        <f>204+287</f>
        <v>491</v>
      </c>
      <c r="UC5">
        <f>382+347</f>
        <v>729</v>
      </c>
      <c r="UD5">
        <f>447+418</f>
        <v>865</v>
      </c>
      <c r="UE5">
        <f>180+180</f>
        <v>360</v>
      </c>
      <c r="UF5">
        <f>284+242</f>
        <v>526</v>
      </c>
      <c r="UG5">
        <f>401+379</f>
        <v>780</v>
      </c>
      <c r="UH5">
        <f>209+172</f>
        <v>381</v>
      </c>
      <c r="UJ5">
        <f>102+91</f>
        <v>193</v>
      </c>
      <c r="UK5">
        <f>178+319</f>
        <v>497</v>
      </c>
      <c r="UL5">
        <f>165+127</f>
        <v>292</v>
      </c>
      <c r="UM5">
        <f>326+259</f>
        <v>585</v>
      </c>
      <c r="UN5">
        <f>223+209</f>
        <v>432</v>
      </c>
      <c r="UO5">
        <f>409+385</f>
        <v>794</v>
      </c>
      <c r="UP5">
        <f>415+540</f>
        <v>955</v>
      </c>
      <c r="UQ5">
        <f>167+211</f>
        <v>378</v>
      </c>
      <c r="UR5">
        <f>260+332</f>
        <v>592</v>
      </c>
      <c r="US5">
        <f>50+42</f>
        <v>92</v>
      </c>
      <c r="UU5">
        <f>63+46</f>
        <v>109</v>
      </c>
      <c r="UV5">
        <f>86+58</f>
        <v>144</v>
      </c>
      <c r="UW5">
        <f>218+289</f>
        <v>507</v>
      </c>
      <c r="UX5">
        <f>27+55</f>
        <v>82</v>
      </c>
      <c r="UY5">
        <f>38+24</f>
        <v>62</v>
      </c>
      <c r="UZ5">
        <f>37+19</f>
        <v>56</v>
      </c>
      <c r="VA5">
        <f>23+29</f>
        <v>52</v>
      </c>
      <c r="VB5">
        <f>51+30</f>
        <v>81</v>
      </c>
      <c r="VC5">
        <f>43+44</f>
        <v>87</v>
      </c>
      <c r="VD5">
        <f>142+141</f>
        <v>283</v>
      </c>
      <c r="VE5">
        <f>141+144</f>
        <v>285</v>
      </c>
      <c r="VF5">
        <f>166+263</f>
        <v>429</v>
      </c>
      <c r="VG5">
        <f>305+242</f>
        <v>547</v>
      </c>
      <c r="VH5">
        <f>51+54</f>
        <v>105</v>
      </c>
      <c r="VI5">
        <f>20+27</f>
        <v>47</v>
      </c>
    </row>
    <row r="6" spans="1:581" x14ac:dyDescent="0.2">
      <c r="A6" t="s">
        <v>559</v>
      </c>
      <c r="B6" t="s">
        <v>560</v>
      </c>
      <c r="C6">
        <v>267</v>
      </c>
      <c r="D6">
        <f t="shared" si="18"/>
        <v>111988</v>
      </c>
      <c r="E6">
        <f t="shared" si="19"/>
        <v>242</v>
      </c>
      <c r="F6">
        <v>17.489999999999998</v>
      </c>
      <c r="G6">
        <v>32.72</v>
      </c>
      <c r="H6">
        <v>3.04</v>
      </c>
      <c r="I6" s="1" t="s">
        <v>561</v>
      </c>
      <c r="J6">
        <f>20+20</f>
        <v>40</v>
      </c>
      <c r="K6">
        <f>11+13</f>
        <v>24</v>
      </c>
      <c r="L6">
        <f>17+22</f>
        <v>39</v>
      </c>
      <c r="M6">
        <f>27+27</f>
        <v>54</v>
      </c>
      <c r="N6">
        <f>17+8</f>
        <v>25</v>
      </c>
      <c r="O6">
        <f>12+11</f>
        <v>23</v>
      </c>
      <c r="P6">
        <f>6+13</f>
        <v>19</v>
      </c>
      <c r="Q6">
        <f>15+15</f>
        <v>30</v>
      </c>
      <c r="R6">
        <f>7+12</f>
        <v>19</v>
      </c>
      <c r="S6">
        <f>7+15</f>
        <v>22</v>
      </c>
      <c r="T6">
        <f>6+5</f>
        <v>11</v>
      </c>
      <c r="U6">
        <f>7+10</f>
        <v>17</v>
      </c>
      <c r="V6">
        <f>10+16</f>
        <v>26</v>
      </c>
      <c r="W6">
        <f>6+5</f>
        <v>11</v>
      </c>
      <c r="X6">
        <f>6+11</f>
        <v>17</v>
      </c>
      <c r="Y6">
        <f>14+19</f>
        <v>33</v>
      </c>
      <c r="AA6">
        <f>22+36</f>
        <v>58</v>
      </c>
      <c r="AB6">
        <f>12+20</f>
        <v>32</v>
      </c>
      <c r="AC6">
        <f>7+10</f>
        <v>17</v>
      </c>
      <c r="AD6">
        <f>10+17</f>
        <v>27</v>
      </c>
      <c r="AE6">
        <f>18+14</f>
        <v>32</v>
      </c>
      <c r="AF6">
        <f>15+22</f>
        <v>37</v>
      </c>
      <c r="AG6">
        <f>22+16</f>
        <v>38</v>
      </c>
      <c r="AH6">
        <f>15+10</f>
        <v>25</v>
      </c>
      <c r="AI6">
        <f>24+26</f>
        <v>50</v>
      </c>
      <c r="AJ6">
        <f>12+11</f>
        <v>23</v>
      </c>
      <c r="AK6">
        <f>17+25</f>
        <v>42</v>
      </c>
      <c r="AL6">
        <f>26+33</f>
        <v>59</v>
      </c>
      <c r="AM6">
        <f>8+8</f>
        <v>16</v>
      </c>
      <c r="AN6">
        <f>29+23</f>
        <v>52</v>
      </c>
      <c r="AO6">
        <f>7+19</f>
        <v>26</v>
      </c>
      <c r="AP6">
        <f>8+14</f>
        <v>22</v>
      </c>
      <c r="AR6">
        <f>11+22</f>
        <v>33</v>
      </c>
      <c r="AS6">
        <f>8+7</f>
        <v>15</v>
      </c>
      <c r="AT6">
        <f>8+7</f>
        <v>15</v>
      </c>
      <c r="AU6">
        <f>8+7</f>
        <v>15</v>
      </c>
      <c r="AV6">
        <f>7+7</f>
        <v>14</v>
      </c>
      <c r="AW6">
        <f>19+17</f>
        <v>36</v>
      </c>
      <c r="AX6">
        <f>21+23</f>
        <v>44</v>
      </c>
      <c r="AY6">
        <f>21+19</f>
        <v>40</v>
      </c>
      <c r="AZ6">
        <f>21+15</f>
        <v>36</v>
      </c>
      <c r="BB6">
        <f>5+5</f>
        <v>10</v>
      </c>
      <c r="BD6">
        <f>30+17</f>
        <v>47</v>
      </c>
      <c r="BE6">
        <f>15+19</f>
        <v>34</v>
      </c>
      <c r="BF6">
        <f>11+16</f>
        <v>27</v>
      </c>
      <c r="BG6">
        <f>20+23</f>
        <v>43</v>
      </c>
      <c r="BH6">
        <f>11+15</f>
        <v>26</v>
      </c>
      <c r="BI6">
        <f>9+12</f>
        <v>21</v>
      </c>
      <c r="BJ6">
        <f>12+13</f>
        <v>25</v>
      </c>
      <c r="BK6">
        <f>8+12</f>
        <v>20</v>
      </c>
      <c r="BL6">
        <f>14+8</f>
        <v>22</v>
      </c>
      <c r="BM6">
        <f>12+17</f>
        <v>29</v>
      </c>
      <c r="BN6">
        <f>14+21</f>
        <v>35</v>
      </c>
      <c r="BO6">
        <f>23+18</f>
        <v>41</v>
      </c>
      <c r="BP6">
        <f>19+21</f>
        <v>40</v>
      </c>
      <c r="BQ6">
        <f>18+13</f>
        <v>31</v>
      </c>
      <c r="BR6">
        <f>17+49</f>
        <v>66</v>
      </c>
      <c r="BS6">
        <f>17+24</f>
        <v>41</v>
      </c>
      <c r="BT6">
        <f>20+23</f>
        <v>43</v>
      </c>
      <c r="BU6">
        <f>15+19</f>
        <v>34</v>
      </c>
      <c r="BV6">
        <f>12+19</f>
        <v>31</v>
      </c>
      <c r="BW6">
        <f>10+7</f>
        <v>17</v>
      </c>
      <c r="BX6">
        <f>12+19</f>
        <v>31</v>
      </c>
      <c r="BZ6">
        <f>14+17</f>
        <v>31</v>
      </c>
      <c r="CA6">
        <f>8+14</f>
        <v>22</v>
      </c>
      <c r="CB6">
        <f>26+42</f>
        <v>68</v>
      </c>
      <c r="CC6">
        <f>10+17</f>
        <v>27</v>
      </c>
      <c r="CD6">
        <f>18+21</f>
        <v>39</v>
      </c>
      <c r="CE6">
        <f>19+19</f>
        <v>38</v>
      </c>
      <c r="CF6">
        <f>9+9</f>
        <v>18</v>
      </c>
      <c r="CH6">
        <f>9+11</f>
        <v>20</v>
      </c>
      <c r="CI6">
        <f>9+16</f>
        <v>25</v>
      </c>
      <c r="CJ6">
        <f>11+13</f>
        <v>24</v>
      </c>
      <c r="CK6">
        <f>12+22</f>
        <v>34</v>
      </c>
      <c r="CL6">
        <f>13+11</f>
        <v>24</v>
      </c>
      <c r="CM6">
        <f>11+20</f>
        <v>31</v>
      </c>
      <c r="CN6">
        <f>16+15</f>
        <v>31</v>
      </c>
      <c r="CO6">
        <f>9+10</f>
        <v>19</v>
      </c>
      <c r="CP6">
        <f>11+11</f>
        <v>22</v>
      </c>
      <c r="CQ6">
        <f>31+33</f>
        <v>64</v>
      </c>
      <c r="CR6">
        <f>8+16</f>
        <v>24</v>
      </c>
      <c r="CS6">
        <f>12+20</f>
        <v>32</v>
      </c>
      <c r="CT6">
        <f>14+15</f>
        <v>29</v>
      </c>
      <c r="CU6">
        <f>21+26</f>
        <v>47</v>
      </c>
      <c r="CV6">
        <f>14+6</f>
        <v>20</v>
      </c>
      <c r="CW6">
        <f>18+32</f>
        <v>50</v>
      </c>
      <c r="CX6">
        <f>6+1</f>
        <v>7</v>
      </c>
      <c r="CY6">
        <f>14+17</f>
        <v>31</v>
      </c>
      <c r="CZ6">
        <f>5+6</f>
        <v>11</v>
      </c>
      <c r="DA6">
        <f>8+16</f>
        <v>24</v>
      </c>
      <c r="DB6">
        <f>25+26</f>
        <v>51</v>
      </c>
      <c r="DC6">
        <f>12+11</f>
        <v>23</v>
      </c>
      <c r="DD6">
        <f>12+14</f>
        <v>26</v>
      </c>
      <c r="DE6">
        <f>9+16</f>
        <v>25</v>
      </c>
      <c r="DF6">
        <f>11+8</f>
        <v>19</v>
      </c>
      <c r="DG6">
        <f>18+10</f>
        <v>28</v>
      </c>
      <c r="DH6">
        <f>718+538</f>
        <v>1256</v>
      </c>
      <c r="DI6">
        <f>756+493</f>
        <v>1249</v>
      </c>
      <c r="DJ6">
        <f>19+24</f>
        <v>43</v>
      </c>
      <c r="DK6">
        <f>621+484</f>
        <v>1105</v>
      </c>
      <c r="DL6">
        <f>742+539</f>
        <v>1281</v>
      </c>
      <c r="DM6">
        <f>736+588</f>
        <v>1324</v>
      </c>
      <c r="DN6">
        <f>591+535</f>
        <v>1126</v>
      </c>
      <c r="DO6">
        <f>540+339</f>
        <v>879</v>
      </c>
      <c r="DP6">
        <f>778+628</f>
        <v>1406</v>
      </c>
      <c r="DQ6">
        <f>285+231</f>
        <v>516</v>
      </c>
      <c r="DR6">
        <f>628+482</f>
        <v>1110</v>
      </c>
      <c r="DS6">
        <f>672+478</f>
        <v>1150</v>
      </c>
      <c r="DT6">
        <f>12+18</f>
        <v>30</v>
      </c>
      <c r="DU6">
        <f>618+548</f>
        <v>1166</v>
      </c>
      <c r="DV6">
        <f>651+557</f>
        <v>1208</v>
      </c>
      <c r="DW6">
        <f>653+553</f>
        <v>1206</v>
      </c>
      <c r="DX6">
        <f>719+608</f>
        <v>1327</v>
      </c>
      <c r="DY6">
        <f>386+240</f>
        <v>626</v>
      </c>
      <c r="DZ6">
        <f>827+500</f>
        <v>1327</v>
      </c>
      <c r="EA6">
        <f>499+367</f>
        <v>866</v>
      </c>
      <c r="EB6">
        <f>644+466</f>
        <v>1110</v>
      </c>
      <c r="EC6">
        <f>526+418</f>
        <v>944</v>
      </c>
      <c r="ED6">
        <f>491+308</f>
        <v>799</v>
      </c>
      <c r="EE6">
        <f>638+547</f>
        <v>1185</v>
      </c>
      <c r="EF6">
        <f>630+463</f>
        <v>1093</v>
      </c>
      <c r="EI6">
        <f>94+122</f>
        <v>216</v>
      </c>
      <c r="EJ6">
        <f>571+467</f>
        <v>1038</v>
      </c>
      <c r="EK6">
        <f>639+444</f>
        <v>1083</v>
      </c>
      <c r="EL6">
        <f>518+315</f>
        <v>833</v>
      </c>
      <c r="EM6">
        <f>455+367</f>
        <v>822</v>
      </c>
      <c r="EN6">
        <f>16+19</f>
        <v>35</v>
      </c>
      <c r="EO6">
        <f>611+541</f>
        <v>1152</v>
      </c>
      <c r="EP6">
        <f>550+728</f>
        <v>1278</v>
      </c>
      <c r="EQ6">
        <f>860+651</f>
        <v>1511</v>
      </c>
      <c r="ER6">
        <f>850+721</f>
        <v>1571</v>
      </c>
      <c r="ES6">
        <f>812+635</f>
        <v>1447</v>
      </c>
      <c r="ET6">
        <f>893+722</f>
        <v>1615</v>
      </c>
      <c r="EU6">
        <f>735+589</f>
        <v>1324</v>
      </c>
      <c r="EV6">
        <f>488+408</f>
        <v>896</v>
      </c>
      <c r="EW6">
        <f>789+626</f>
        <v>1415</v>
      </c>
      <c r="EX6">
        <f>626+504</f>
        <v>1130</v>
      </c>
      <c r="EY6">
        <f>704+512</f>
        <v>1216</v>
      </c>
      <c r="EZ6">
        <f>806+576</f>
        <v>1382</v>
      </c>
      <c r="FA6">
        <f>783+657</f>
        <v>1440</v>
      </c>
      <c r="FB6">
        <f>506+411</f>
        <v>917</v>
      </c>
      <c r="FC6">
        <f>530+358</f>
        <v>888</v>
      </c>
      <c r="FD6">
        <f>677+440</f>
        <v>1117</v>
      </c>
      <c r="FE6">
        <f>855+635</f>
        <v>1490</v>
      </c>
      <c r="FF6">
        <f>19+17</f>
        <v>36</v>
      </c>
      <c r="FG6">
        <f>530+744</f>
        <v>1274</v>
      </c>
      <c r="FH6">
        <f>852+584</f>
        <v>1436</v>
      </c>
      <c r="FI6">
        <f>807+585</f>
        <v>1392</v>
      </c>
      <c r="FJ6">
        <f>774+578</f>
        <v>1352</v>
      </c>
      <c r="FK6">
        <f>765+617</f>
        <v>1382</v>
      </c>
      <c r="FL6">
        <f>722+598</f>
        <v>1320</v>
      </c>
      <c r="FM6">
        <f>674+550</f>
        <v>1224</v>
      </c>
      <c r="FN6">
        <f>774+559</f>
        <v>1333</v>
      </c>
      <c r="FO6">
        <f>754+616</f>
        <v>1370</v>
      </c>
      <c r="FP6">
        <f>589+408</f>
        <v>997</v>
      </c>
      <c r="FQ6">
        <f>812+612</f>
        <v>1424</v>
      </c>
      <c r="FR6">
        <f>610+442</f>
        <v>1052</v>
      </c>
      <c r="GK6">
        <f>52+40</f>
        <v>92</v>
      </c>
      <c r="GN6">
        <f>29+15</f>
        <v>44</v>
      </c>
      <c r="II6">
        <f>79+34</f>
        <v>113</v>
      </c>
      <c r="IZ6">
        <f>209+324</f>
        <v>533</v>
      </c>
      <c r="JA6">
        <f>151+88</f>
        <v>239</v>
      </c>
      <c r="JB6">
        <f>175+96</f>
        <v>271</v>
      </c>
      <c r="JC6">
        <f>339+215</f>
        <v>554</v>
      </c>
      <c r="JD6">
        <f>263+269</f>
        <v>532</v>
      </c>
      <c r="JE6">
        <f>483+290</f>
        <v>773</v>
      </c>
      <c r="JF6">
        <f>545+307</f>
        <v>852</v>
      </c>
      <c r="JH6">
        <f>64+96</f>
        <v>160</v>
      </c>
      <c r="JJ6">
        <f>59+94</f>
        <v>153</v>
      </c>
      <c r="JL6">
        <f>4+0</f>
        <v>4</v>
      </c>
      <c r="JM6">
        <f>16+11</f>
        <v>27</v>
      </c>
      <c r="JN6">
        <f>12+22</f>
        <v>34</v>
      </c>
      <c r="JU6">
        <f>85+66</f>
        <v>151</v>
      </c>
      <c r="JV6">
        <f>119+72</f>
        <v>191</v>
      </c>
      <c r="JX6">
        <f>51+20</f>
        <v>71</v>
      </c>
      <c r="JY6">
        <f>28+17</f>
        <v>45</v>
      </c>
      <c r="KC6">
        <f>35+38</f>
        <v>73</v>
      </c>
      <c r="KD6">
        <f>52+54</f>
        <v>106</v>
      </c>
      <c r="KE6">
        <f>529+415</f>
        <v>944</v>
      </c>
      <c r="KF6">
        <f>525+379</f>
        <v>904</v>
      </c>
      <c r="KR6">
        <f>10+14</f>
        <v>24</v>
      </c>
      <c r="KS6">
        <f>20+13</f>
        <v>33</v>
      </c>
      <c r="KV6">
        <f>5+4</f>
        <v>9</v>
      </c>
      <c r="KX6">
        <f>33+28</f>
        <v>61</v>
      </c>
      <c r="KZ6">
        <f>37+29</f>
        <v>66</v>
      </c>
      <c r="LA6">
        <f>16+9</f>
        <v>25</v>
      </c>
      <c r="LB6">
        <f>61+58</f>
        <v>119</v>
      </c>
      <c r="LE6">
        <f>40+53</f>
        <v>93</v>
      </c>
      <c r="LL6">
        <f>73+60</f>
        <v>133</v>
      </c>
      <c r="LN6">
        <f>7+1</f>
        <v>8</v>
      </c>
      <c r="NE6">
        <f>29+30</f>
        <v>59</v>
      </c>
      <c r="NM6">
        <f>72+55</f>
        <v>127</v>
      </c>
      <c r="NN6">
        <f>214+253</f>
        <v>467</v>
      </c>
      <c r="NO6">
        <f>56+57</f>
        <v>113</v>
      </c>
      <c r="OH6">
        <f>239+265</f>
        <v>504</v>
      </c>
      <c r="OJ6">
        <f>141+129</f>
        <v>270</v>
      </c>
      <c r="OR6">
        <f>259+291</f>
        <v>550</v>
      </c>
      <c r="PO6">
        <f>78+58</f>
        <v>136</v>
      </c>
      <c r="PQ6">
        <f>45+41</f>
        <v>86</v>
      </c>
      <c r="PZ6">
        <f>247+190</f>
        <v>437</v>
      </c>
      <c r="QE6">
        <f>131+139</f>
        <v>270</v>
      </c>
      <c r="QO6">
        <f>79+103</f>
        <v>182</v>
      </c>
      <c r="RD6">
        <f>29+19</f>
        <v>48</v>
      </c>
      <c r="RF6">
        <f>49+51</f>
        <v>100</v>
      </c>
      <c r="RG6">
        <f>55+32</f>
        <v>87</v>
      </c>
      <c r="RH6">
        <f>42+39</f>
        <v>81</v>
      </c>
      <c r="RJ6">
        <f>7+4</f>
        <v>11</v>
      </c>
      <c r="RV6">
        <f>823+702</f>
        <v>1525</v>
      </c>
      <c r="RW6">
        <f>397+277</f>
        <v>674</v>
      </c>
      <c r="RX6">
        <f>660+551</f>
        <v>1211</v>
      </c>
      <c r="RY6">
        <f>8+18</f>
        <v>26</v>
      </c>
      <c r="SK6">
        <f>96+104</f>
        <v>200</v>
      </c>
      <c r="SM6">
        <f>12+27</f>
        <v>39</v>
      </c>
      <c r="SP6">
        <f>109+88</f>
        <v>197</v>
      </c>
      <c r="ST6">
        <f>41+62</f>
        <v>103</v>
      </c>
      <c r="SV6">
        <f>73+128</f>
        <v>201</v>
      </c>
      <c r="TR6">
        <f>679+474</f>
        <v>1153</v>
      </c>
      <c r="TS6">
        <f>529+352</f>
        <v>881</v>
      </c>
      <c r="TT6">
        <f>527+425</f>
        <v>952</v>
      </c>
      <c r="TU6">
        <f>719+590</f>
        <v>1309</v>
      </c>
      <c r="TV6">
        <f>570+479</f>
        <v>1049</v>
      </c>
      <c r="TW6">
        <f>815+541</f>
        <v>1356</v>
      </c>
      <c r="TX6">
        <f>682+597</f>
        <v>1279</v>
      </c>
      <c r="TY6">
        <f>24+24</f>
        <v>48</v>
      </c>
      <c r="TZ6">
        <f>568+417</f>
        <v>985</v>
      </c>
      <c r="UA6">
        <f>820+547</f>
        <v>1367</v>
      </c>
      <c r="UB6">
        <f>570+564</f>
        <v>1134</v>
      </c>
      <c r="UC6">
        <f>719+562</f>
        <v>1281</v>
      </c>
      <c r="UD6">
        <f>594+484</f>
        <v>1078</v>
      </c>
      <c r="UE6">
        <f>654+495</f>
        <v>1149</v>
      </c>
      <c r="UF6">
        <f>724+505</f>
        <v>1229</v>
      </c>
      <c r="UG6">
        <f>660+574</f>
        <v>1234</v>
      </c>
      <c r="UH6">
        <f>648+542</f>
        <v>1190</v>
      </c>
      <c r="UI6">
        <f>487+327</f>
        <v>814</v>
      </c>
      <c r="UJ6">
        <f>650+564</f>
        <v>1214</v>
      </c>
      <c r="UK6">
        <f>651+581</f>
        <v>1232</v>
      </c>
      <c r="UL6">
        <f>959+677</f>
        <v>1636</v>
      </c>
      <c r="UM6">
        <f>592+423</f>
        <v>1015</v>
      </c>
      <c r="UN6">
        <f>532+514</f>
        <v>1046</v>
      </c>
      <c r="UO6">
        <f>672+593</f>
        <v>1265</v>
      </c>
      <c r="VD6">
        <f>94+62</f>
        <v>156</v>
      </c>
      <c r="VF6">
        <f>68+75</f>
        <v>143</v>
      </c>
    </row>
    <row r="7" spans="1:581" x14ac:dyDescent="0.2">
      <c r="A7" t="s">
        <v>562</v>
      </c>
      <c r="B7" t="s">
        <v>563</v>
      </c>
      <c r="C7">
        <v>269</v>
      </c>
      <c r="D7">
        <f t="shared" si="18"/>
        <v>55801</v>
      </c>
      <c r="E7">
        <f t="shared" si="19"/>
        <v>282</v>
      </c>
      <c r="F7">
        <v>7.64</v>
      </c>
      <c r="G7">
        <v>36.049999999999997</v>
      </c>
      <c r="H7">
        <v>3</v>
      </c>
      <c r="I7" s="1" t="s">
        <v>564</v>
      </c>
      <c r="S7">
        <f>5+5</f>
        <v>10</v>
      </c>
      <c r="AN7">
        <f>13+9</f>
        <v>22</v>
      </c>
      <c r="AR7">
        <f>6+3</f>
        <v>9</v>
      </c>
      <c r="AU7">
        <f>5+3</f>
        <v>8</v>
      </c>
      <c r="AX7">
        <f>11+7</f>
        <v>18</v>
      </c>
      <c r="BB7">
        <f>4+0</f>
        <v>4</v>
      </c>
      <c r="BC7">
        <f>3+0</f>
        <v>3</v>
      </c>
      <c r="BP7">
        <f>5+1</f>
        <v>6</v>
      </c>
      <c r="BT7">
        <f>6+4</f>
        <v>10</v>
      </c>
      <c r="BW7">
        <f>6+7</f>
        <v>13</v>
      </c>
      <c r="BZ7">
        <f>6+5</f>
        <v>11</v>
      </c>
      <c r="CB7">
        <f>7+5</f>
        <v>12</v>
      </c>
      <c r="CT7">
        <f>5+5</f>
        <v>10</v>
      </c>
      <c r="CU7">
        <f>8+11</f>
        <v>19</v>
      </c>
      <c r="DF7">
        <f>8+2</f>
        <v>10</v>
      </c>
      <c r="DG7">
        <f>6+6</f>
        <v>12</v>
      </c>
      <c r="DH7">
        <f>186+118</f>
        <v>304</v>
      </c>
      <c r="DK7">
        <f>292+256</f>
        <v>548</v>
      </c>
      <c r="DM7">
        <f>103+75</f>
        <v>178</v>
      </c>
      <c r="DN7">
        <f>143+100</f>
        <v>243</v>
      </c>
      <c r="DO7">
        <f>299+225</f>
        <v>524</v>
      </c>
      <c r="DR7">
        <f>116+98</f>
        <v>214</v>
      </c>
      <c r="DS7">
        <f>121+82</f>
        <v>203</v>
      </c>
      <c r="DT7">
        <f>32+35</f>
        <v>67</v>
      </c>
      <c r="DU7">
        <f>98+87</f>
        <v>185</v>
      </c>
      <c r="DV7">
        <f>258+185</f>
        <v>443</v>
      </c>
      <c r="DW7">
        <f>271+185</f>
        <v>456</v>
      </c>
      <c r="DX7">
        <f>154+115</f>
        <v>269</v>
      </c>
      <c r="DZ7">
        <f>286+200</f>
        <v>486</v>
      </c>
      <c r="EA7">
        <f>103+61</f>
        <v>164</v>
      </c>
      <c r="EE7">
        <f>139+107</f>
        <v>246</v>
      </c>
      <c r="EG7">
        <f>169+230</f>
        <v>399</v>
      </c>
      <c r="EJ7">
        <f>118+88</f>
        <v>206</v>
      </c>
      <c r="EK7">
        <f>120+85</f>
        <v>205</v>
      </c>
      <c r="ER7">
        <f>137+120</f>
        <v>257</v>
      </c>
      <c r="EY7">
        <f>179+139</f>
        <v>318</v>
      </c>
      <c r="EZ7">
        <f>112+95</f>
        <v>207</v>
      </c>
      <c r="FA7">
        <f>109+101</f>
        <v>210</v>
      </c>
      <c r="FB7">
        <f>107+69</f>
        <v>176</v>
      </c>
      <c r="FC7">
        <f>198+148</f>
        <v>346</v>
      </c>
      <c r="FH7">
        <f>152+118</f>
        <v>270</v>
      </c>
      <c r="FK7">
        <f>226+173</f>
        <v>399</v>
      </c>
      <c r="FL7">
        <f>190+156</f>
        <v>346</v>
      </c>
      <c r="FM7">
        <f>87+66</f>
        <v>153</v>
      </c>
      <c r="FO7">
        <f>148+122</f>
        <v>270</v>
      </c>
      <c r="FP7">
        <f>215+186</f>
        <v>401</v>
      </c>
      <c r="FQ7">
        <f>114+85</f>
        <v>199</v>
      </c>
      <c r="FR7">
        <f>258+165</f>
        <v>423</v>
      </c>
      <c r="FS7">
        <f>9+7</f>
        <v>16</v>
      </c>
      <c r="FT7">
        <f>61+43</f>
        <v>104</v>
      </c>
      <c r="FV7">
        <f>80+44</f>
        <v>124</v>
      </c>
      <c r="FW7">
        <f>21+17</f>
        <v>38</v>
      </c>
      <c r="FX7">
        <f>42+34</f>
        <v>76</v>
      </c>
      <c r="FY7">
        <f>11+4</f>
        <v>15</v>
      </c>
      <c r="FZ7">
        <f>17+14</f>
        <v>31</v>
      </c>
      <c r="GA7">
        <f>47+54</f>
        <v>101</v>
      </c>
      <c r="GB7">
        <f>41+24</f>
        <v>65</v>
      </c>
      <c r="GC7">
        <f>29+41</f>
        <v>70</v>
      </c>
      <c r="GD7">
        <f>60+26</f>
        <v>86</v>
      </c>
      <c r="GF7">
        <f>94+36</f>
        <v>130</v>
      </c>
      <c r="GG7">
        <f>57+19</f>
        <v>76</v>
      </c>
      <c r="GH7">
        <f>61+26</f>
        <v>87</v>
      </c>
      <c r="GJ7">
        <f>101+46</f>
        <v>147</v>
      </c>
      <c r="GQ7">
        <f>64+85</f>
        <v>149</v>
      </c>
      <c r="GT7">
        <f>48+29</f>
        <v>77</v>
      </c>
      <c r="GU7">
        <f>135+101</f>
        <v>236</v>
      </c>
      <c r="GW7">
        <f>87+87</f>
        <v>174</v>
      </c>
      <c r="GX7">
        <f>295+270</f>
        <v>565</v>
      </c>
      <c r="GY7">
        <f>72+92</f>
        <v>164</v>
      </c>
      <c r="GZ7">
        <f>96+102</f>
        <v>198</v>
      </c>
      <c r="HA7">
        <f>83+95</f>
        <v>178</v>
      </c>
      <c r="HB7">
        <f>139+120</f>
        <v>259</v>
      </c>
      <c r="HC7">
        <f>182+148</f>
        <v>330</v>
      </c>
      <c r="HD7">
        <f>114+99</f>
        <v>213</v>
      </c>
      <c r="HE7">
        <f>216+213</f>
        <v>429</v>
      </c>
      <c r="HG7">
        <f>112+115</f>
        <v>227</v>
      </c>
      <c r="HH7">
        <f>85+72</f>
        <v>157</v>
      </c>
      <c r="HI7">
        <f>102+85</f>
        <v>187</v>
      </c>
      <c r="HJ7">
        <f>313+272</f>
        <v>585</v>
      </c>
      <c r="HK7">
        <f>204+175</f>
        <v>379</v>
      </c>
      <c r="HL7">
        <f>285+303</f>
        <v>588</v>
      </c>
      <c r="HN7">
        <f>282+251</f>
        <v>533</v>
      </c>
      <c r="HP7">
        <f>41+40</f>
        <v>81</v>
      </c>
      <c r="HQ7">
        <f>414+294</f>
        <v>708</v>
      </c>
      <c r="HS7">
        <f>16+30</f>
        <v>46</v>
      </c>
      <c r="HT7">
        <f>139+93</f>
        <v>232</v>
      </c>
      <c r="HV7">
        <f>25+42</f>
        <v>67</v>
      </c>
      <c r="HW7">
        <f>18+38</f>
        <v>56</v>
      </c>
      <c r="HX7">
        <f>12+35</f>
        <v>47</v>
      </c>
      <c r="HY7">
        <f>35+66</f>
        <v>101</v>
      </c>
      <c r="IA7">
        <f>31+36</f>
        <v>67</v>
      </c>
      <c r="IG7">
        <f>120+85</f>
        <v>205</v>
      </c>
      <c r="IJ7">
        <f>216+188</f>
        <v>404</v>
      </c>
      <c r="IL7">
        <f>100+73</f>
        <v>173</v>
      </c>
      <c r="IN7">
        <f>76+70</f>
        <v>146</v>
      </c>
      <c r="IO7">
        <f>388+361</f>
        <v>749</v>
      </c>
      <c r="IP7">
        <f>173+146</f>
        <v>319</v>
      </c>
      <c r="IQ7">
        <f>45+51</f>
        <v>96</v>
      </c>
      <c r="IR7">
        <f>171+137</f>
        <v>308</v>
      </c>
      <c r="IS7">
        <f>30+35</f>
        <v>65</v>
      </c>
      <c r="IT7">
        <f>51+40</f>
        <v>91</v>
      </c>
      <c r="IU7">
        <f>101+70</f>
        <v>171</v>
      </c>
      <c r="IW7">
        <f>14+3</f>
        <v>17</v>
      </c>
      <c r="JF7">
        <f>165+83</f>
        <v>248</v>
      </c>
      <c r="JH7">
        <f>91+175</f>
        <v>266</v>
      </c>
      <c r="JI7">
        <f>19+5</f>
        <v>24</v>
      </c>
      <c r="JJ7">
        <f>103+154</f>
        <v>257</v>
      </c>
      <c r="JL7">
        <f>9+4</f>
        <v>13</v>
      </c>
      <c r="JO7">
        <f>110+190</f>
        <v>300</v>
      </c>
      <c r="JQ7">
        <f>207+142</f>
        <v>349</v>
      </c>
      <c r="JR7">
        <f>321+233</f>
        <v>554</v>
      </c>
      <c r="JT7">
        <f>68+60</f>
        <v>128</v>
      </c>
      <c r="JW7">
        <f>72+41</f>
        <v>113</v>
      </c>
      <c r="JX7">
        <f>131+72</f>
        <v>203</v>
      </c>
      <c r="JY7">
        <f>30+12</f>
        <v>42</v>
      </c>
      <c r="KA7">
        <f>122+97</f>
        <v>219</v>
      </c>
      <c r="KB7">
        <f>57+30</f>
        <v>87</v>
      </c>
      <c r="KC7">
        <f>25+38</f>
        <v>63</v>
      </c>
      <c r="KG7">
        <f>413+255</f>
        <v>668</v>
      </c>
      <c r="KJ7">
        <f>35+24</f>
        <v>59</v>
      </c>
      <c r="KK7">
        <f>281+174</f>
        <v>455</v>
      </c>
      <c r="KL7">
        <f>107+70</f>
        <v>177</v>
      </c>
      <c r="KN7">
        <f>135+108</f>
        <v>243</v>
      </c>
      <c r="KO7">
        <f>105+60</f>
        <v>165</v>
      </c>
      <c r="KQ7">
        <f>60+28</f>
        <v>88</v>
      </c>
      <c r="KR7">
        <f>7+8</f>
        <v>15</v>
      </c>
      <c r="KT7">
        <f>24+21</f>
        <v>45</v>
      </c>
      <c r="KW7">
        <f>53+77</f>
        <v>130</v>
      </c>
      <c r="LD7">
        <f>22+15</f>
        <v>37</v>
      </c>
      <c r="LI7">
        <f>133+83</f>
        <v>216</v>
      </c>
      <c r="LM7">
        <f>204+191</f>
        <v>395</v>
      </c>
      <c r="LN7">
        <f>9+14</f>
        <v>23</v>
      </c>
      <c r="LQ7">
        <f>166+106</f>
        <v>272</v>
      </c>
      <c r="LR7">
        <f>93+82</f>
        <v>175</v>
      </c>
      <c r="LU7">
        <f>69+69</f>
        <v>138</v>
      </c>
      <c r="LW7">
        <f>223+132</f>
        <v>355</v>
      </c>
      <c r="LX7">
        <f>84+42</f>
        <v>126</v>
      </c>
      <c r="MA7">
        <f>16+7</f>
        <v>23</v>
      </c>
      <c r="MB7">
        <f>71+72</f>
        <v>143</v>
      </c>
      <c r="MC7">
        <f>90+79</f>
        <v>169</v>
      </c>
      <c r="MD7">
        <f>392+283</f>
        <v>675</v>
      </c>
      <c r="ME7">
        <f>673+490</f>
        <v>1163</v>
      </c>
      <c r="MF7">
        <f>65+49</f>
        <v>114</v>
      </c>
      <c r="MG7">
        <f>178+115</f>
        <v>293</v>
      </c>
      <c r="MJ7">
        <f>230+168</f>
        <v>398</v>
      </c>
      <c r="MK7">
        <f>376+234</f>
        <v>610</v>
      </c>
      <c r="ML7">
        <f>340+202</f>
        <v>542</v>
      </c>
      <c r="MM7">
        <f>152+109</f>
        <v>261</v>
      </c>
      <c r="MO7">
        <f>83+33</f>
        <v>116</v>
      </c>
      <c r="MP7">
        <f>40+20</f>
        <v>60</v>
      </c>
      <c r="MQ7">
        <f>7+1</f>
        <v>8</v>
      </c>
      <c r="MR7">
        <f>133+118</f>
        <v>251</v>
      </c>
      <c r="MT7">
        <f>5+7</f>
        <v>12</v>
      </c>
      <c r="MU7">
        <f>204+178</f>
        <v>382</v>
      </c>
      <c r="MY7">
        <f>12+27</f>
        <v>39</v>
      </c>
      <c r="MZ7">
        <f>9+9</f>
        <v>18</v>
      </c>
      <c r="NF7">
        <f>11+10</f>
        <v>21</v>
      </c>
      <c r="NG7">
        <f>49+29</f>
        <v>78</v>
      </c>
      <c r="NK7">
        <f>54+43</f>
        <v>97</v>
      </c>
      <c r="NN7">
        <f>76+119</f>
        <v>195</v>
      </c>
      <c r="NP7">
        <f>96+99</f>
        <v>195</v>
      </c>
      <c r="NQ7" s="2">
        <f>43+48</f>
        <v>91</v>
      </c>
      <c r="NR7">
        <f>15+7</f>
        <v>22</v>
      </c>
      <c r="NS7">
        <f>60+24</f>
        <v>84</v>
      </c>
      <c r="NT7">
        <f>80+70</f>
        <v>150</v>
      </c>
      <c r="NU7">
        <f>44+47</f>
        <v>91</v>
      </c>
      <c r="NV7">
        <f>334+215</f>
        <v>549</v>
      </c>
      <c r="NW7">
        <f>228+117</f>
        <v>345</v>
      </c>
      <c r="NX7">
        <f>50+33</f>
        <v>83</v>
      </c>
      <c r="NY7">
        <f>382+256</f>
        <v>638</v>
      </c>
      <c r="OA7">
        <f>176+89</f>
        <v>265</v>
      </c>
      <c r="OB7">
        <f>132+106</f>
        <v>238</v>
      </c>
      <c r="OC7">
        <f>29+11</f>
        <v>40</v>
      </c>
      <c r="OD7">
        <f>242+162</f>
        <v>404</v>
      </c>
      <c r="OE7">
        <f>416+307</f>
        <v>723</v>
      </c>
      <c r="OH7">
        <f>199+259</f>
        <v>458</v>
      </c>
      <c r="OL7">
        <f>89+41</f>
        <v>130</v>
      </c>
      <c r="OM7">
        <f>65+50</f>
        <v>115</v>
      </c>
      <c r="OQ7">
        <f>73+70</f>
        <v>143</v>
      </c>
      <c r="OS7">
        <f>361+359</f>
        <v>720</v>
      </c>
      <c r="OU7">
        <f>83+118</f>
        <v>201</v>
      </c>
      <c r="OW7">
        <f>82+88</f>
        <v>170</v>
      </c>
      <c r="OX7">
        <f>50+53</f>
        <v>103</v>
      </c>
      <c r="OY7">
        <f>47+48</f>
        <v>95</v>
      </c>
      <c r="PB7">
        <f>96+69</f>
        <v>165</v>
      </c>
      <c r="PC7">
        <f>63+84</f>
        <v>147</v>
      </c>
      <c r="PD7">
        <f>74+99</f>
        <v>173</v>
      </c>
      <c r="PF7">
        <f>34+42</f>
        <v>76</v>
      </c>
      <c r="PH7">
        <f>158+167</f>
        <v>325</v>
      </c>
      <c r="PI7">
        <f>253+173</f>
        <v>426</v>
      </c>
      <c r="PJ7">
        <f>485+259</f>
        <v>744</v>
      </c>
      <c r="PK7">
        <f>98+83</f>
        <v>181</v>
      </c>
      <c r="PL7">
        <f>101+85</f>
        <v>186</v>
      </c>
      <c r="PM7">
        <f>117+83</f>
        <v>200</v>
      </c>
      <c r="PN7">
        <f>81+50</f>
        <v>131</v>
      </c>
      <c r="PO7">
        <f>78+81</f>
        <v>159</v>
      </c>
      <c r="PP7">
        <f>34+15</f>
        <v>49</v>
      </c>
      <c r="PT7">
        <f>4+0</f>
        <v>4</v>
      </c>
      <c r="PU7">
        <f>74+59</f>
        <v>133</v>
      </c>
      <c r="PW7">
        <f>142+121</f>
        <v>263</v>
      </c>
      <c r="PY7">
        <f>7+4</f>
        <v>11</v>
      </c>
      <c r="QA7">
        <f>219+248</f>
        <v>467</v>
      </c>
      <c r="QB7">
        <f>44+28</f>
        <v>72</v>
      </c>
      <c r="QC7">
        <f>8+1</f>
        <v>9</v>
      </c>
      <c r="QD7">
        <f>127+179</f>
        <v>306</v>
      </c>
      <c r="QE7">
        <f>245+253</f>
        <v>498</v>
      </c>
      <c r="QG7">
        <f>23+18</f>
        <v>41</v>
      </c>
      <c r="QH7">
        <f>15+18</f>
        <v>33</v>
      </c>
      <c r="QI7">
        <f>33+16</f>
        <v>49</v>
      </c>
      <c r="QJ7">
        <f>55+30</f>
        <v>85</v>
      </c>
      <c r="QK7">
        <f>14+5</f>
        <v>19</v>
      </c>
      <c r="QL7">
        <f>55+18</f>
        <v>73</v>
      </c>
      <c r="QO7">
        <f>38+52</f>
        <v>90</v>
      </c>
      <c r="QS7">
        <f>160+70</f>
        <v>230</v>
      </c>
      <c r="QV7">
        <f>22+8</f>
        <v>30</v>
      </c>
      <c r="QX7">
        <f>90+63</f>
        <v>153</v>
      </c>
      <c r="QY7">
        <f>60+44</f>
        <v>104</v>
      </c>
      <c r="QZ7">
        <f>24+24</f>
        <v>48</v>
      </c>
      <c r="RA7">
        <f>175+93</f>
        <v>268</v>
      </c>
      <c r="RF7">
        <f>111+82</f>
        <v>193</v>
      </c>
      <c r="RI7">
        <f>114+55</f>
        <v>169</v>
      </c>
      <c r="RN7">
        <f>113+76</f>
        <v>189</v>
      </c>
      <c r="RP7">
        <f>28+47</f>
        <v>75</v>
      </c>
      <c r="RS7">
        <f>134+236</f>
        <v>370</v>
      </c>
      <c r="RT7">
        <f>102+163</f>
        <v>265</v>
      </c>
      <c r="RU7">
        <f>81+88</f>
        <v>169</v>
      </c>
      <c r="RW7">
        <f>146+109</f>
        <v>255</v>
      </c>
      <c r="RX7">
        <f>128+96</f>
        <v>224</v>
      </c>
      <c r="SF7">
        <f>7+4</f>
        <v>11</v>
      </c>
      <c r="SH7">
        <f>62+47</f>
        <v>109</v>
      </c>
      <c r="SI7">
        <f>354+294</f>
        <v>648</v>
      </c>
      <c r="SL7">
        <f>30+22</f>
        <v>52</v>
      </c>
      <c r="SM7">
        <f>46+79</f>
        <v>125</v>
      </c>
      <c r="SN7">
        <f>97+29</f>
        <v>126</v>
      </c>
      <c r="SO7">
        <f>284+230</f>
        <v>514</v>
      </c>
      <c r="SQ7">
        <f>68+48</f>
        <v>116</v>
      </c>
      <c r="SR7">
        <f>5+1</f>
        <v>6</v>
      </c>
      <c r="SS7">
        <f>24+53</f>
        <v>77</v>
      </c>
      <c r="ST7">
        <f>52+80</f>
        <v>132</v>
      </c>
      <c r="SU7">
        <f>8+4</f>
        <v>12</v>
      </c>
      <c r="SV7">
        <f>74+119</f>
        <v>193</v>
      </c>
      <c r="SX7">
        <f>6+1</f>
        <v>7</v>
      </c>
      <c r="SY7">
        <f>177+121</f>
        <v>298</v>
      </c>
      <c r="SZ7">
        <f>75+121</f>
        <v>196</v>
      </c>
      <c r="TE7">
        <f>154+107</f>
        <v>261</v>
      </c>
      <c r="TG7">
        <f>63+42</f>
        <v>105</v>
      </c>
      <c r="TH7">
        <f>225+179</f>
        <v>404</v>
      </c>
      <c r="TJ7">
        <f>45+31</f>
        <v>76</v>
      </c>
      <c r="TK7">
        <f>170+138</f>
        <v>308</v>
      </c>
      <c r="TL7">
        <f>100+68</f>
        <v>168</v>
      </c>
      <c r="TM7">
        <f>30+32</f>
        <v>62</v>
      </c>
      <c r="TN7">
        <f>122+97</f>
        <v>219</v>
      </c>
      <c r="TO7">
        <f>36+25</f>
        <v>61</v>
      </c>
      <c r="TP7">
        <f>9+17</f>
        <v>26</v>
      </c>
      <c r="TQ7">
        <f>82+50</f>
        <v>132</v>
      </c>
      <c r="TW7">
        <f>129+69</f>
        <v>198</v>
      </c>
      <c r="TX7">
        <f>81+80</f>
        <v>161</v>
      </c>
      <c r="UA7">
        <f>138+79</f>
        <v>217</v>
      </c>
      <c r="UB7">
        <f>161+138</f>
        <v>299</v>
      </c>
      <c r="UC7">
        <f>103+62</f>
        <v>165</v>
      </c>
      <c r="UD7">
        <f>97+56</f>
        <v>153</v>
      </c>
      <c r="UH7">
        <f>90+70</f>
        <v>160</v>
      </c>
      <c r="UK7">
        <f>91+82</f>
        <v>173</v>
      </c>
      <c r="UL7">
        <f>97+85</f>
        <v>182</v>
      </c>
      <c r="UO7">
        <f>162+126</f>
        <v>288</v>
      </c>
      <c r="UP7">
        <f>258+293</f>
        <v>551</v>
      </c>
      <c r="UQ7">
        <f>108+128</f>
        <v>236</v>
      </c>
      <c r="UR7">
        <f>56+71</f>
        <v>127</v>
      </c>
      <c r="US7">
        <f>37+40</f>
        <v>77</v>
      </c>
      <c r="UU7">
        <f>215+146</f>
        <v>361</v>
      </c>
      <c r="UV7">
        <f>89+69</f>
        <v>158</v>
      </c>
      <c r="UW7">
        <f>136+123</f>
        <v>259</v>
      </c>
      <c r="UX7">
        <f>30+30</f>
        <v>60</v>
      </c>
      <c r="UY7">
        <f>29+14</f>
        <v>43</v>
      </c>
      <c r="VA7">
        <f>7+12</f>
        <v>19</v>
      </c>
      <c r="VB7">
        <f>23+13</f>
        <v>36</v>
      </c>
      <c r="VC7">
        <f>12+17</f>
        <v>29</v>
      </c>
      <c r="VD7">
        <f>52+96</f>
        <v>148</v>
      </c>
      <c r="VE7">
        <f>112+97</f>
        <v>209</v>
      </c>
      <c r="VF7">
        <f>77+93</f>
        <v>170</v>
      </c>
      <c r="VG7">
        <f>80+62</f>
        <v>142</v>
      </c>
      <c r="VH7">
        <f>48+27</f>
        <v>75</v>
      </c>
    </row>
    <row r="8" spans="1:581" x14ac:dyDescent="0.2">
      <c r="A8" t="s">
        <v>565</v>
      </c>
      <c r="B8" t="s">
        <v>566</v>
      </c>
      <c r="C8">
        <v>269</v>
      </c>
      <c r="D8">
        <f t="shared" si="18"/>
        <v>47676</v>
      </c>
      <c r="E8">
        <f t="shared" si="19"/>
        <v>279</v>
      </c>
      <c r="F8">
        <v>7.19</v>
      </c>
      <c r="G8">
        <v>25.21</v>
      </c>
      <c r="H8">
        <v>3</v>
      </c>
      <c r="I8" s="1" t="s">
        <v>567</v>
      </c>
      <c r="K8">
        <f>7+5</f>
        <v>12</v>
      </c>
      <c r="N8">
        <f>6+4</f>
        <v>10</v>
      </c>
      <c r="R8">
        <f>6+8</f>
        <v>14</v>
      </c>
      <c r="Y8">
        <f>6+1</f>
        <v>7</v>
      </c>
      <c r="AF8">
        <f>5+8</f>
        <v>13</v>
      </c>
      <c r="AN8">
        <f>9+8</f>
        <v>17</v>
      </c>
      <c r="AY8">
        <f>5+8</f>
        <v>13</v>
      </c>
      <c r="BD8">
        <f>7+5</f>
        <v>12</v>
      </c>
      <c r="BE8">
        <f>10+7</f>
        <v>17</v>
      </c>
      <c r="BH8">
        <f>8+6</f>
        <v>14</v>
      </c>
      <c r="BL8">
        <f>4+0</f>
        <v>4</v>
      </c>
      <c r="BP8">
        <f>5+5</f>
        <v>10</v>
      </c>
      <c r="BR8">
        <f>6+6</f>
        <v>12</v>
      </c>
      <c r="BZ8">
        <f>4+0</f>
        <v>4</v>
      </c>
      <c r="CC8">
        <f>5+4</f>
        <v>9</v>
      </c>
      <c r="CI8">
        <f>5+2</f>
        <v>7</v>
      </c>
      <c r="CO8">
        <f>6+5</f>
        <v>11</v>
      </c>
      <c r="CP8">
        <f>4+0</f>
        <v>4</v>
      </c>
      <c r="CQ8">
        <f>8+10</f>
        <v>18</v>
      </c>
      <c r="CX8">
        <f>19+16</f>
        <v>35</v>
      </c>
      <c r="CZ8">
        <f>5+2</f>
        <v>7</v>
      </c>
      <c r="DI8">
        <f>170+166</f>
        <v>336</v>
      </c>
      <c r="DL8">
        <f>100+92</f>
        <v>192</v>
      </c>
      <c r="DM8">
        <f>157+146</f>
        <v>303</v>
      </c>
      <c r="DO8">
        <f>107+78</f>
        <v>185</v>
      </c>
      <c r="DP8">
        <f>132+144</f>
        <v>276</v>
      </c>
      <c r="DX8">
        <f>286+258</f>
        <v>544</v>
      </c>
      <c r="DZ8">
        <f>96+83</f>
        <v>179</v>
      </c>
      <c r="EH8">
        <f>96+168</f>
        <v>264</v>
      </c>
      <c r="EI8">
        <f>140+190</f>
        <v>330</v>
      </c>
      <c r="EM8">
        <f>77+80</f>
        <v>157</v>
      </c>
      <c r="EO8">
        <f>131+146</f>
        <v>277</v>
      </c>
      <c r="EP8">
        <f>87+115</f>
        <v>202</v>
      </c>
      <c r="EQ8">
        <f>102+123</f>
        <v>225</v>
      </c>
      <c r="ER8">
        <f>151+133</f>
        <v>284</v>
      </c>
      <c r="ES8">
        <f>99+114</f>
        <v>213</v>
      </c>
      <c r="ET8">
        <f>116+98</f>
        <v>214</v>
      </c>
      <c r="EU8">
        <f>143+138</f>
        <v>281</v>
      </c>
      <c r="FA8">
        <f>170+150</f>
        <v>320</v>
      </c>
      <c r="FC8">
        <f>80+106</f>
        <v>186</v>
      </c>
      <c r="FD8">
        <f>232+182</f>
        <v>414</v>
      </c>
      <c r="FE8">
        <f>150+132</f>
        <v>282</v>
      </c>
      <c r="FG8">
        <f>102+161</f>
        <v>263</v>
      </c>
      <c r="FH8">
        <f>124+122</f>
        <v>246</v>
      </c>
      <c r="FL8">
        <f>166+133</f>
        <v>299</v>
      </c>
      <c r="FM8">
        <f>72+78</f>
        <v>150</v>
      </c>
      <c r="FQ8">
        <f>77+89</f>
        <v>166</v>
      </c>
      <c r="FR8">
        <f>193+159</f>
        <v>352</v>
      </c>
      <c r="FS8">
        <f>34+16</f>
        <v>50</v>
      </c>
      <c r="FT8">
        <f>181+169</f>
        <v>350</v>
      </c>
      <c r="FU8">
        <f>162+151</f>
        <v>313</v>
      </c>
      <c r="FV8">
        <f>53+61</f>
        <v>114</v>
      </c>
      <c r="FW8">
        <f>10+15</f>
        <v>25</v>
      </c>
      <c r="FX8">
        <f>53+66</f>
        <v>119</v>
      </c>
      <c r="FZ8">
        <f>15+21</f>
        <v>36</v>
      </c>
      <c r="GB8">
        <f>57+53</f>
        <v>110</v>
      </c>
      <c r="GE8">
        <f>9+18</f>
        <v>27</v>
      </c>
      <c r="GF8">
        <f>198+108</f>
        <v>306</v>
      </c>
      <c r="GH8">
        <f>30+17</f>
        <v>47</v>
      </c>
      <c r="GI8">
        <f>123+68</f>
        <v>191</v>
      </c>
      <c r="GJ8">
        <f>30+23</f>
        <v>53</v>
      </c>
      <c r="GK8">
        <f>50+78</f>
        <v>128</v>
      </c>
      <c r="GM8">
        <f>22+41</f>
        <v>63</v>
      </c>
      <c r="GN8">
        <f>19+26</f>
        <v>45</v>
      </c>
      <c r="GO8">
        <f>24+36</f>
        <v>60</v>
      </c>
      <c r="GP8">
        <f>9+4</f>
        <v>13</v>
      </c>
      <c r="GR8">
        <f>56+66</f>
        <v>122</v>
      </c>
      <c r="GS8">
        <f>17+23</f>
        <v>40</v>
      </c>
      <c r="GT8">
        <f>31+29</f>
        <v>60</v>
      </c>
      <c r="GW8">
        <f>166+180</f>
        <v>346</v>
      </c>
      <c r="GX8">
        <f>427+373</f>
        <v>800</v>
      </c>
      <c r="GY8">
        <f>59+70</f>
        <v>129</v>
      </c>
      <c r="GZ8">
        <f>72+75</f>
        <v>147</v>
      </c>
      <c r="HA8">
        <f>22+49</f>
        <v>71</v>
      </c>
      <c r="HE8">
        <f>136+134</f>
        <v>270</v>
      </c>
      <c r="HG8">
        <f>68+110</f>
        <v>178</v>
      </c>
      <c r="HH8">
        <f>262+326</f>
        <v>588</v>
      </c>
      <c r="HI8">
        <f>67+125</f>
        <v>192</v>
      </c>
      <c r="HJ8">
        <f>153+144</f>
        <v>297</v>
      </c>
      <c r="HM8">
        <f>59+94</f>
        <v>153</v>
      </c>
      <c r="HO8">
        <f>15+33</f>
        <v>48</v>
      </c>
      <c r="HS8">
        <f>15+37</f>
        <v>52</v>
      </c>
      <c r="HV8">
        <f>13+48</f>
        <v>61</v>
      </c>
      <c r="HW8">
        <f>12+42</f>
        <v>54</v>
      </c>
      <c r="HY8">
        <f>26+80</f>
        <v>106</v>
      </c>
      <c r="IA8">
        <f>21+50</f>
        <v>71</v>
      </c>
      <c r="IB8">
        <f>8+28</f>
        <v>36</v>
      </c>
      <c r="IC8">
        <f>5+11</f>
        <v>16</v>
      </c>
      <c r="IE8">
        <f>8+18</f>
        <v>26</v>
      </c>
      <c r="IF8">
        <f>127+83</f>
        <v>210</v>
      </c>
      <c r="IG8">
        <f>22+30</f>
        <v>52</v>
      </c>
      <c r="IH8">
        <f>33+50</f>
        <v>83</v>
      </c>
      <c r="IJ8">
        <f>185+212</f>
        <v>397</v>
      </c>
      <c r="IK8">
        <f>110+123</f>
        <v>233</v>
      </c>
      <c r="IL8">
        <f>39+52</f>
        <v>91</v>
      </c>
      <c r="IM8">
        <f>34+41</f>
        <v>75</v>
      </c>
      <c r="IQ8">
        <f>60+54</f>
        <v>114</v>
      </c>
      <c r="IS8">
        <f>51+76</f>
        <v>127</v>
      </c>
      <c r="IW8">
        <f>6+1</f>
        <v>7</v>
      </c>
      <c r="JE8">
        <f>102+83</f>
        <v>185</v>
      </c>
      <c r="JN8">
        <f>6+2</f>
        <v>8</v>
      </c>
      <c r="JP8">
        <f>33+59</f>
        <v>92</v>
      </c>
      <c r="JS8">
        <f>32+40</f>
        <v>72</v>
      </c>
      <c r="JU8">
        <f>77+107</f>
        <v>184</v>
      </c>
      <c r="JV8">
        <f>101+96</f>
        <v>197</v>
      </c>
      <c r="JX8">
        <f>53+34</f>
        <v>87</v>
      </c>
      <c r="JY8">
        <f>38+25</f>
        <v>63</v>
      </c>
      <c r="KD8">
        <f>76+92</f>
        <v>168</v>
      </c>
      <c r="KH8">
        <f>340+242</f>
        <v>582</v>
      </c>
      <c r="KI8">
        <f>147+98</f>
        <v>245</v>
      </c>
      <c r="KJ8">
        <f>37+26</f>
        <v>63</v>
      </c>
      <c r="KK8">
        <f>170+90</f>
        <v>260</v>
      </c>
      <c r="KL8">
        <f>122+104</f>
        <v>226</v>
      </c>
      <c r="KM8">
        <f>35+27</f>
        <v>62</v>
      </c>
      <c r="KO8">
        <f>43+40</f>
        <v>83</v>
      </c>
      <c r="KU8">
        <f>19+13</f>
        <v>32</v>
      </c>
      <c r="KW8">
        <f>111+166</f>
        <v>277</v>
      </c>
      <c r="LC8">
        <f>4+0</f>
        <v>4</v>
      </c>
      <c r="LE8">
        <f>37+61</f>
        <v>98</v>
      </c>
      <c r="LF8">
        <f>41+111</f>
        <v>152</v>
      </c>
      <c r="LG8">
        <f>141+156</f>
        <v>297</v>
      </c>
      <c r="LH8">
        <f>111+143</f>
        <v>254</v>
      </c>
      <c r="LJ8">
        <f>51+103</f>
        <v>154</v>
      </c>
      <c r="LK8">
        <f>92+111</f>
        <v>203</v>
      </c>
      <c r="LL8">
        <f>81+161</f>
        <v>242</v>
      </c>
      <c r="LP8">
        <f>301+296</f>
        <v>597</v>
      </c>
      <c r="LQ8">
        <f>192+134</f>
        <v>326</v>
      </c>
      <c r="LR8">
        <f>494+358</f>
        <v>852</v>
      </c>
      <c r="LS8">
        <f>108+80</f>
        <v>188</v>
      </c>
      <c r="LT8">
        <f>236+219</f>
        <v>455</v>
      </c>
      <c r="LU8">
        <f>75+81</f>
        <v>156</v>
      </c>
      <c r="LV8">
        <f>164+126</f>
        <v>290</v>
      </c>
      <c r="LX8">
        <f>273+149</f>
        <v>422</v>
      </c>
      <c r="LY8">
        <f>36+22</f>
        <v>58</v>
      </c>
      <c r="MB8">
        <f>105+116</f>
        <v>221</v>
      </c>
      <c r="MD8">
        <f>235+188</f>
        <v>423</v>
      </c>
      <c r="ME8">
        <f>132+126</f>
        <v>258</v>
      </c>
      <c r="MF8">
        <f>71+57</f>
        <v>128</v>
      </c>
      <c r="MG8">
        <f>296+308</f>
        <v>604</v>
      </c>
      <c r="MH8">
        <f>245+243</f>
        <v>488</v>
      </c>
      <c r="MI8">
        <f>173+187</f>
        <v>360</v>
      </c>
      <c r="MJ8">
        <f>95+143</f>
        <v>238</v>
      </c>
      <c r="ML8">
        <f>253+188</f>
        <v>441</v>
      </c>
      <c r="MM8">
        <f>156+167</f>
        <v>323</v>
      </c>
      <c r="MN8">
        <f>131+134</f>
        <v>265</v>
      </c>
      <c r="MO8">
        <f>30+33</f>
        <v>63</v>
      </c>
      <c r="MP8">
        <f>139+82</f>
        <v>221</v>
      </c>
      <c r="MQ8">
        <f>7+6</f>
        <v>13</v>
      </c>
      <c r="MR8">
        <f>83+90</f>
        <v>173</v>
      </c>
      <c r="MS8">
        <f>21+12</f>
        <v>33</v>
      </c>
      <c r="MT8">
        <f>6+0</f>
        <v>6</v>
      </c>
      <c r="MU8">
        <f>53+41</f>
        <v>94</v>
      </c>
      <c r="MV8">
        <f>46+44</f>
        <v>90</v>
      </c>
      <c r="MX8">
        <f>11+53</f>
        <v>64</v>
      </c>
      <c r="MY8">
        <f>9+34</f>
        <v>43</v>
      </c>
      <c r="MZ8">
        <f>10+13</f>
        <v>23</v>
      </c>
      <c r="NA8">
        <f>5+22</f>
        <v>27</v>
      </c>
      <c r="NC8">
        <f>19+62</f>
        <v>81</v>
      </c>
      <c r="ND8">
        <f>14+40</f>
        <v>54</v>
      </c>
      <c r="NE8">
        <f>20+38</f>
        <v>58</v>
      </c>
      <c r="NF8">
        <f>16+11</f>
        <v>27</v>
      </c>
      <c r="NG8">
        <f>55+46</f>
        <v>101</v>
      </c>
      <c r="NH8">
        <f>46+55</f>
        <v>101</v>
      </c>
      <c r="NI8">
        <f>19+15</f>
        <v>34</v>
      </c>
      <c r="NK8">
        <f>25+43</f>
        <v>68</v>
      </c>
      <c r="NM8">
        <f>72+117</f>
        <v>189</v>
      </c>
      <c r="NN8">
        <f>102+206</f>
        <v>308</v>
      </c>
      <c r="NO8">
        <f>83+115</f>
        <v>198</v>
      </c>
      <c r="NP8">
        <f>51+87</f>
        <v>138</v>
      </c>
      <c r="NU8">
        <f>45+55</f>
        <v>100</v>
      </c>
      <c r="NW8">
        <f>125+61</f>
        <v>186</v>
      </c>
      <c r="NX8">
        <f>44+46</f>
        <v>90</v>
      </c>
      <c r="NZ8">
        <f>137+135</f>
        <v>272</v>
      </c>
      <c r="OD8">
        <f>315+362</f>
        <v>677</v>
      </c>
      <c r="OE8">
        <f>148+143</f>
        <v>291</v>
      </c>
      <c r="OF8">
        <f>296+217</f>
        <v>513</v>
      </c>
      <c r="OK8">
        <f>243+231</f>
        <v>474</v>
      </c>
      <c r="OL8">
        <f>150+184</f>
        <v>334</v>
      </c>
      <c r="OR8">
        <f>61+102</f>
        <v>163</v>
      </c>
      <c r="OV8">
        <f>156+201</f>
        <v>357</v>
      </c>
      <c r="OY8">
        <f>68+99</f>
        <v>167</v>
      </c>
      <c r="OZ8">
        <f>48+57</f>
        <v>105</v>
      </c>
      <c r="PA8">
        <f>15+27</f>
        <v>42</v>
      </c>
      <c r="PB8">
        <f>30+35</f>
        <v>65</v>
      </c>
      <c r="PF8">
        <f>29+50</f>
        <v>79</v>
      </c>
      <c r="PH8">
        <f>155+177</f>
        <v>332</v>
      </c>
      <c r="PI8">
        <f>556+398</f>
        <v>954</v>
      </c>
      <c r="PJ8">
        <f>260+169</f>
        <v>429</v>
      </c>
      <c r="PK8">
        <f>46+60</f>
        <v>106</v>
      </c>
      <c r="PL8">
        <f>57+50</f>
        <v>107</v>
      </c>
      <c r="PM8">
        <f>70+68</f>
        <v>138</v>
      </c>
      <c r="PN8">
        <f>92+66</f>
        <v>158</v>
      </c>
      <c r="PP8">
        <f>30+32</f>
        <v>62</v>
      </c>
      <c r="PR8">
        <f>46+62</f>
        <v>108</v>
      </c>
      <c r="PS8">
        <f>282+239</f>
        <v>521</v>
      </c>
      <c r="PT8">
        <f>8+3</f>
        <v>11</v>
      </c>
      <c r="PU8">
        <f>63+79</f>
        <v>142</v>
      </c>
      <c r="PV8">
        <f>155+160</f>
        <v>315</v>
      </c>
      <c r="PW8">
        <f>45+34</f>
        <v>79</v>
      </c>
      <c r="PX8">
        <f>6+7</f>
        <v>13</v>
      </c>
      <c r="QB8">
        <f>31+28</f>
        <v>59</v>
      </c>
      <c r="QD8">
        <f>51+99</f>
        <v>150</v>
      </c>
      <c r="QG8">
        <f>14+8</f>
        <v>22</v>
      </c>
      <c r="QJ8">
        <f>36+26</f>
        <v>62</v>
      </c>
      <c r="QK8">
        <f>5+6</f>
        <v>11</v>
      </c>
      <c r="QL8">
        <f>59+24</f>
        <v>83</v>
      </c>
      <c r="QM8">
        <f>66+50</f>
        <v>116</v>
      </c>
      <c r="QR8">
        <f>24+40</f>
        <v>64</v>
      </c>
      <c r="QS8">
        <f>27+25</f>
        <v>52</v>
      </c>
      <c r="QT8">
        <f>85+75</f>
        <v>160</v>
      </c>
      <c r="QU8">
        <f>12+9</f>
        <v>21</v>
      </c>
      <c r="QV8">
        <f>50+25</f>
        <v>75</v>
      </c>
      <c r="QX8">
        <f>43+51</f>
        <v>94</v>
      </c>
      <c r="QY8">
        <f>36+22</f>
        <v>58</v>
      </c>
      <c r="RA8">
        <f>349+226</f>
        <v>575</v>
      </c>
      <c r="RC8">
        <f>135+84</f>
        <v>219</v>
      </c>
      <c r="RD8">
        <f>49+45</f>
        <v>94</v>
      </c>
      <c r="RF8">
        <f>54+57</f>
        <v>111</v>
      </c>
      <c r="RG8">
        <f>148+155</f>
        <v>303</v>
      </c>
      <c r="RH8">
        <f>256+262</f>
        <v>518</v>
      </c>
      <c r="RJ8">
        <f>31+20</f>
        <v>51</v>
      </c>
      <c r="RK8">
        <f>91+77</f>
        <v>168</v>
      </c>
      <c r="RL8">
        <f>21+16</f>
        <v>37</v>
      </c>
      <c r="RM8">
        <f>9+31</f>
        <v>40</v>
      </c>
      <c r="RN8">
        <f>24+26</f>
        <v>50</v>
      </c>
      <c r="RO8">
        <f>20+50</f>
        <v>70</v>
      </c>
      <c r="RP8">
        <f>24+68</f>
        <v>92</v>
      </c>
      <c r="RQ8">
        <f>11+34</f>
        <v>45</v>
      </c>
      <c r="RR8">
        <f>14+32</f>
        <v>46</v>
      </c>
      <c r="RU8">
        <f>37+84</f>
        <v>121</v>
      </c>
      <c r="SE8">
        <f>62+61</f>
        <v>123</v>
      </c>
      <c r="SF8">
        <f>10+6</f>
        <v>16</v>
      </c>
      <c r="SG8">
        <f>52+84</f>
        <v>136</v>
      </c>
      <c r="SI8">
        <f>273+237</f>
        <v>510</v>
      </c>
      <c r="SJ8">
        <f>11+10</f>
        <v>21</v>
      </c>
      <c r="SK8">
        <f>47+84</f>
        <v>131</v>
      </c>
      <c r="SM8">
        <f>18+20</f>
        <v>38</v>
      </c>
      <c r="SN8">
        <f>15+5</f>
        <v>20</v>
      </c>
      <c r="SO8">
        <f>84+42</f>
        <v>126</v>
      </c>
      <c r="SQ8">
        <f>142+126</f>
        <v>268</v>
      </c>
      <c r="SR8">
        <f>13+6</f>
        <v>19</v>
      </c>
      <c r="SS8">
        <f>87+160</f>
        <v>247</v>
      </c>
      <c r="SU8">
        <f>12+8</f>
        <v>20</v>
      </c>
      <c r="SV8">
        <f>50+88</f>
        <v>138</v>
      </c>
      <c r="SX8">
        <f>30+10</f>
        <v>40</v>
      </c>
      <c r="SY8">
        <f>174+150</f>
        <v>324</v>
      </c>
      <c r="SZ8">
        <f>20+25</f>
        <v>45</v>
      </c>
      <c r="TA8">
        <f>13+18</f>
        <v>31</v>
      </c>
      <c r="TB8">
        <f>12+5</f>
        <v>17</v>
      </c>
      <c r="TC8">
        <f>51+45</f>
        <v>96</v>
      </c>
      <c r="TE8">
        <f>100+97</f>
        <v>197</v>
      </c>
      <c r="TG8">
        <f>23+25</f>
        <v>48</v>
      </c>
      <c r="TH8">
        <f>207+198</f>
        <v>405</v>
      </c>
      <c r="TI8">
        <f>63+86</f>
        <v>149</v>
      </c>
      <c r="TJ8">
        <f>98+92</f>
        <v>190</v>
      </c>
      <c r="TK8">
        <f>150+149</f>
        <v>299</v>
      </c>
      <c r="TM8">
        <f>156+117</f>
        <v>273</v>
      </c>
      <c r="TO8">
        <f>181+113</f>
        <v>294</v>
      </c>
      <c r="TQ8">
        <f>34+44</f>
        <v>78</v>
      </c>
      <c r="TU8">
        <f>112+121</f>
        <v>233</v>
      </c>
      <c r="TV8">
        <f>116+114</f>
        <v>230</v>
      </c>
      <c r="TW8">
        <f>98+107</f>
        <v>205</v>
      </c>
      <c r="UC8">
        <f>94+73</f>
        <v>167</v>
      </c>
      <c r="UE8">
        <f>142+175</f>
        <v>317</v>
      </c>
      <c r="UF8">
        <f>87+99</f>
        <v>186</v>
      </c>
      <c r="UH8">
        <f>139+140</f>
        <v>279</v>
      </c>
      <c r="UJ8">
        <f>102+122</f>
        <v>224</v>
      </c>
      <c r="UL8">
        <f>237+218</f>
        <v>455</v>
      </c>
      <c r="UO8">
        <f>126+141</f>
        <v>267</v>
      </c>
      <c r="UQ8">
        <f>223+374</f>
        <v>597</v>
      </c>
      <c r="US8">
        <f>128+145</f>
        <v>273</v>
      </c>
      <c r="UU8">
        <f>44+47</f>
        <v>91</v>
      </c>
      <c r="UV8">
        <f>62+49</f>
        <v>111</v>
      </c>
      <c r="UX8">
        <f>21+44</f>
        <v>65</v>
      </c>
      <c r="UY8">
        <f>14+17</f>
        <v>31</v>
      </c>
      <c r="VA8">
        <f>6+10</f>
        <v>16</v>
      </c>
      <c r="VD8">
        <f>53+77</f>
        <v>130</v>
      </c>
      <c r="VG8">
        <f>59+70</f>
        <v>129</v>
      </c>
      <c r="VH8">
        <f>61+71</f>
        <v>132</v>
      </c>
    </row>
    <row r="9" spans="1:581" x14ac:dyDescent="0.2">
      <c r="A9" t="s">
        <v>568</v>
      </c>
      <c r="B9" t="s">
        <v>569</v>
      </c>
      <c r="C9">
        <v>269</v>
      </c>
      <c r="D9">
        <f t="shared" si="18"/>
        <v>24190</v>
      </c>
      <c r="E9">
        <f t="shared" si="19"/>
        <v>155</v>
      </c>
      <c r="F9">
        <v>6.26</v>
      </c>
      <c r="G9">
        <v>20.36</v>
      </c>
      <c r="H9">
        <v>3</v>
      </c>
      <c r="I9" s="1" t="s">
        <v>570</v>
      </c>
      <c r="AA9">
        <f>7+5</f>
        <v>12</v>
      </c>
      <c r="AE9">
        <f>5+4</f>
        <v>9</v>
      </c>
      <c r="AG9">
        <f>10+4</f>
        <v>14</v>
      </c>
      <c r="AU9">
        <f>5+3</f>
        <v>8</v>
      </c>
      <c r="BC9">
        <f>3+0</f>
        <v>3</v>
      </c>
      <c r="BG9">
        <f>6+2</f>
        <v>8</v>
      </c>
      <c r="BU9">
        <f>5+2</f>
        <v>7</v>
      </c>
      <c r="CE9">
        <f>7+6</f>
        <v>13</v>
      </c>
      <c r="CR9">
        <f>6+9</f>
        <v>15</v>
      </c>
      <c r="DD9">
        <f>9+7</f>
        <v>16</v>
      </c>
      <c r="DF9">
        <f>6+5</f>
        <v>11</v>
      </c>
      <c r="DG9">
        <f>9+10</f>
        <v>19</v>
      </c>
      <c r="DI9">
        <f>166+127</f>
        <v>293</v>
      </c>
      <c r="DJ9">
        <f>5+4</f>
        <v>9</v>
      </c>
      <c r="DN9">
        <f>124+89</f>
        <v>213</v>
      </c>
      <c r="DO9">
        <f>159+143</f>
        <v>302</v>
      </c>
      <c r="DP9">
        <f>152+116</f>
        <v>268</v>
      </c>
      <c r="DT9">
        <f>15+23</f>
        <v>38</v>
      </c>
      <c r="DU9">
        <f>93+86</f>
        <v>179</v>
      </c>
      <c r="DV9">
        <f>80+76</f>
        <v>156</v>
      </c>
      <c r="DW9">
        <f>105+98</f>
        <v>203</v>
      </c>
      <c r="EG9">
        <f>166+223</f>
        <v>389</v>
      </c>
      <c r="EI9">
        <f>69+94</f>
        <v>163</v>
      </c>
      <c r="EZ9">
        <f>165+172</f>
        <v>337</v>
      </c>
      <c r="FC9">
        <f>148+146</f>
        <v>294</v>
      </c>
      <c r="FU9">
        <f>138+85</f>
        <v>223</v>
      </c>
      <c r="FV9">
        <f>113+89</f>
        <v>202</v>
      </c>
      <c r="FZ9">
        <f>21+14</f>
        <v>35</v>
      </c>
      <c r="GC9">
        <f>9+18</f>
        <v>27</v>
      </c>
      <c r="GD9">
        <f>25+22</f>
        <v>47</v>
      </c>
      <c r="GH9">
        <f>31+18</f>
        <v>49</v>
      </c>
      <c r="GV9">
        <f>102+109</f>
        <v>211</v>
      </c>
      <c r="HF9">
        <f>239+223</f>
        <v>462</v>
      </c>
      <c r="HI9">
        <f>119+146</f>
        <v>265</v>
      </c>
      <c r="HJ9">
        <f>202+159</f>
        <v>361</v>
      </c>
      <c r="HK9">
        <f>153+145</f>
        <v>298</v>
      </c>
      <c r="HM9">
        <f>112+133</f>
        <v>245</v>
      </c>
      <c r="HO9">
        <f>17+20</f>
        <v>37</v>
      </c>
      <c r="HR9">
        <f>291+226</f>
        <v>517</v>
      </c>
      <c r="HT9">
        <f>114+103</f>
        <v>217</v>
      </c>
      <c r="IC9">
        <f>5+10</f>
        <v>15</v>
      </c>
      <c r="IG9">
        <f>42+32</f>
        <v>74</v>
      </c>
      <c r="IH9">
        <f>60+62</f>
        <v>122</v>
      </c>
      <c r="IL9">
        <f>94+96</f>
        <v>190</v>
      </c>
      <c r="IM9">
        <f>46+51</f>
        <v>97</v>
      </c>
      <c r="IN9">
        <f>134+93</f>
        <v>227</v>
      </c>
      <c r="IO9">
        <f>95+85</f>
        <v>180</v>
      </c>
      <c r="IQ9">
        <f>106+86</f>
        <v>192</v>
      </c>
      <c r="IR9">
        <f>130+117</f>
        <v>247</v>
      </c>
      <c r="IT9">
        <f>74+91</f>
        <v>165</v>
      </c>
      <c r="IU9">
        <f>89+66</f>
        <v>155</v>
      </c>
      <c r="IW9">
        <f>14+0</f>
        <v>14</v>
      </c>
      <c r="IX9">
        <f>14+24</f>
        <v>38</v>
      </c>
      <c r="JA9">
        <f>106+68</f>
        <v>174</v>
      </c>
      <c r="JH9">
        <f>190+326</f>
        <v>516</v>
      </c>
      <c r="JI9">
        <f>9+6</f>
        <v>15</v>
      </c>
      <c r="JJ9">
        <f>152+182</f>
        <v>334</v>
      </c>
      <c r="JL9">
        <f>7+5</f>
        <v>12</v>
      </c>
      <c r="JO9">
        <f>169+154</f>
        <v>323</v>
      </c>
      <c r="JP9">
        <f>29+44</f>
        <v>73</v>
      </c>
      <c r="JQ9">
        <f>90+78</f>
        <v>168</v>
      </c>
      <c r="JR9">
        <f>151+118</f>
        <v>269</v>
      </c>
      <c r="JT9">
        <f>74+57</f>
        <v>131</v>
      </c>
      <c r="JW9">
        <f>17+24</f>
        <v>41</v>
      </c>
      <c r="JX9">
        <f>54+47</f>
        <v>101</v>
      </c>
      <c r="KG9">
        <f>160+102</f>
        <v>262</v>
      </c>
      <c r="KH9">
        <f>193+161</f>
        <v>354</v>
      </c>
      <c r="KJ9">
        <f>26+22</f>
        <v>48</v>
      </c>
      <c r="KK9">
        <f>94+52</f>
        <v>146</v>
      </c>
      <c r="KM9">
        <f>34+18</f>
        <v>52</v>
      </c>
      <c r="KN9">
        <f>92+64</f>
        <v>156</v>
      </c>
      <c r="KP9">
        <f>70+64</f>
        <v>134</v>
      </c>
      <c r="KQ9">
        <f>61+73</f>
        <v>134</v>
      </c>
      <c r="LD9">
        <f>104+85</f>
        <v>189</v>
      </c>
      <c r="LF9">
        <f>94+97</f>
        <v>191</v>
      </c>
      <c r="LG9">
        <f>78+90</f>
        <v>168</v>
      </c>
      <c r="LH9">
        <f>64+58</f>
        <v>122</v>
      </c>
      <c r="LI9">
        <f>39+29</f>
        <v>68</v>
      </c>
      <c r="LJ9">
        <f>71+97</f>
        <v>168</v>
      </c>
      <c r="LM9">
        <f>79+106</f>
        <v>185</v>
      </c>
      <c r="LN9">
        <f>5+5</f>
        <v>10</v>
      </c>
      <c r="LO9">
        <f>56+92</f>
        <v>148</v>
      </c>
      <c r="LP9">
        <f>109+58</f>
        <v>167</v>
      </c>
      <c r="LQ9">
        <f>63+78</f>
        <v>141</v>
      </c>
      <c r="LS9">
        <f>30+29</f>
        <v>59</v>
      </c>
      <c r="LU9">
        <f>80+73</f>
        <v>153</v>
      </c>
      <c r="LW9">
        <f>253+223</f>
        <v>476</v>
      </c>
      <c r="MA9">
        <f>8+1</f>
        <v>9</v>
      </c>
      <c r="MF9">
        <f>29+17</f>
        <v>46</v>
      </c>
      <c r="MH9">
        <f>73+82</f>
        <v>155</v>
      </c>
      <c r="MK9">
        <f>260+224</f>
        <v>484</v>
      </c>
      <c r="MM9">
        <f>58+66</f>
        <v>124</v>
      </c>
      <c r="MQ9">
        <f>7+2</f>
        <v>9</v>
      </c>
      <c r="MV9">
        <f>21+13</f>
        <v>34</v>
      </c>
      <c r="NM9">
        <f>59+68</f>
        <v>127</v>
      </c>
      <c r="NS9">
        <f>24+27</f>
        <v>51</v>
      </c>
      <c r="NX9">
        <f>112+70</f>
        <v>182</v>
      </c>
      <c r="OA9">
        <f>151+102</f>
        <v>253</v>
      </c>
      <c r="OE9">
        <f>140+124</f>
        <v>264</v>
      </c>
      <c r="OL9">
        <f>110+84</f>
        <v>194</v>
      </c>
      <c r="OM9">
        <f>44+43</f>
        <v>87</v>
      </c>
      <c r="OR9">
        <f>97+135</f>
        <v>232</v>
      </c>
      <c r="OV9">
        <f>146+178</f>
        <v>324</v>
      </c>
      <c r="OX9">
        <f>93+93</f>
        <v>186</v>
      </c>
      <c r="PF9">
        <f>60+71</f>
        <v>131</v>
      </c>
      <c r="PJ9">
        <f>211+164</f>
        <v>375</v>
      </c>
      <c r="PP9">
        <f>22+13</f>
        <v>35</v>
      </c>
      <c r="PQ9">
        <f>40+51</f>
        <v>91</v>
      </c>
      <c r="PU9">
        <f>75+99</f>
        <v>174</v>
      </c>
      <c r="PW9">
        <f>59+68</f>
        <v>127</v>
      </c>
      <c r="PZ9">
        <f>174+220</f>
        <v>394</v>
      </c>
      <c r="QA9">
        <f>138+203</f>
        <v>341</v>
      </c>
      <c r="QE9">
        <f>53+93</f>
        <v>146</v>
      </c>
      <c r="QF9">
        <f>44+47</f>
        <v>91</v>
      </c>
      <c r="QM9">
        <f>89+88</f>
        <v>177</v>
      </c>
      <c r="QN9">
        <f>27+26</f>
        <v>53</v>
      </c>
      <c r="QO9">
        <f>27+59</f>
        <v>86</v>
      </c>
      <c r="QS9">
        <f>36+19</f>
        <v>55</v>
      </c>
      <c r="QX9">
        <f>116+136</f>
        <v>252</v>
      </c>
      <c r="RF9">
        <f>47+33</f>
        <v>80</v>
      </c>
      <c r="RI9">
        <f>127+124</f>
        <v>251</v>
      </c>
      <c r="RN9">
        <f>20+37</f>
        <v>57</v>
      </c>
      <c r="RS9">
        <f>122+183</f>
        <v>305</v>
      </c>
      <c r="RT9">
        <f>79+134</f>
        <v>213</v>
      </c>
      <c r="RU9">
        <f>64+87</f>
        <v>151</v>
      </c>
      <c r="RV9">
        <f>103+91</f>
        <v>194</v>
      </c>
      <c r="SH9">
        <f>62+64</f>
        <v>126</v>
      </c>
      <c r="SJ9">
        <f>15+14</f>
        <v>29</v>
      </c>
      <c r="SK9">
        <f>60+70</f>
        <v>130</v>
      </c>
      <c r="SM9">
        <f>14+24</f>
        <v>38</v>
      </c>
      <c r="SN9">
        <f>19+7</f>
        <v>26</v>
      </c>
      <c r="SO9">
        <f>105+58</f>
        <v>163</v>
      </c>
      <c r="ST9">
        <f>84+173</f>
        <v>257</v>
      </c>
      <c r="SV9">
        <f>34+61</f>
        <v>95</v>
      </c>
      <c r="SZ9">
        <f>18+20</f>
        <v>38</v>
      </c>
      <c r="TB9">
        <f>8+4</f>
        <v>12</v>
      </c>
      <c r="TC9">
        <f>72+48</f>
        <v>120</v>
      </c>
      <c r="TD9">
        <f>91+73</f>
        <v>164</v>
      </c>
      <c r="TE9">
        <f>193+176</f>
        <v>369</v>
      </c>
      <c r="TF9">
        <f>83+74</f>
        <v>157</v>
      </c>
      <c r="TG9">
        <f>50+49</f>
        <v>99</v>
      </c>
      <c r="TH9">
        <f>234+227</f>
        <v>461</v>
      </c>
      <c r="TI9">
        <f>67+79</f>
        <v>146</v>
      </c>
      <c r="TK9">
        <f>203+165</f>
        <v>368</v>
      </c>
      <c r="TM9">
        <f>30+37</f>
        <v>67</v>
      </c>
      <c r="TN9">
        <f>90+84</f>
        <v>174</v>
      </c>
      <c r="TO9">
        <f>39+30</f>
        <v>69</v>
      </c>
      <c r="TP9">
        <f>15+19</f>
        <v>34</v>
      </c>
      <c r="TQ9">
        <f>43+36</f>
        <v>79</v>
      </c>
      <c r="TX9">
        <f>106+98</f>
        <v>204</v>
      </c>
      <c r="UF9">
        <f>82+76</f>
        <v>158</v>
      </c>
      <c r="UP9">
        <f>119+165</f>
        <v>284</v>
      </c>
      <c r="UR9">
        <f>39+71</f>
        <v>110</v>
      </c>
      <c r="UU9">
        <f>30+51</f>
        <v>81</v>
      </c>
      <c r="UY9">
        <f>8+5</f>
        <v>13</v>
      </c>
    </row>
    <row r="10" spans="1:581" x14ac:dyDescent="0.2">
      <c r="A10" t="s">
        <v>571</v>
      </c>
      <c r="B10" t="s">
        <v>572</v>
      </c>
      <c r="C10">
        <v>269</v>
      </c>
      <c r="D10">
        <f t="shared" si="18"/>
        <v>20414</v>
      </c>
      <c r="E10">
        <f t="shared" si="19"/>
        <v>131</v>
      </c>
      <c r="F10">
        <v>6.67</v>
      </c>
      <c r="G10">
        <v>19.100000000000001</v>
      </c>
      <c r="H10">
        <v>3.01</v>
      </c>
      <c r="I10" s="1" t="s">
        <v>573</v>
      </c>
      <c r="N10">
        <f>4+0</f>
        <v>4</v>
      </c>
      <c r="CO10">
        <f>4+0</f>
        <v>4</v>
      </c>
      <c r="EO10">
        <f>116+160</f>
        <v>276</v>
      </c>
      <c r="EP10">
        <f>69+102</f>
        <v>171</v>
      </c>
      <c r="EQ10">
        <f>84+75</f>
        <v>159</v>
      </c>
      <c r="ES10">
        <f>92+103</f>
        <v>195</v>
      </c>
      <c r="ET10">
        <f>98+139</f>
        <v>237</v>
      </c>
      <c r="EU10">
        <f>79+110</f>
        <v>189</v>
      </c>
      <c r="FC10">
        <f>94+96</f>
        <v>190</v>
      </c>
      <c r="FD10">
        <f>89+114</f>
        <v>203</v>
      </c>
      <c r="FE10">
        <f>83+104</f>
        <v>187</v>
      </c>
      <c r="FG10">
        <f>45+110</f>
        <v>155</v>
      </c>
      <c r="FI10">
        <f>85+77</f>
        <v>162</v>
      </c>
      <c r="FS10">
        <f>6+3</f>
        <v>9</v>
      </c>
      <c r="FT10">
        <f>123+120</f>
        <v>243</v>
      </c>
      <c r="FU10">
        <f>124+142</f>
        <v>266</v>
      </c>
      <c r="FW10">
        <f>9+7</f>
        <v>16</v>
      </c>
      <c r="FX10">
        <f>10+17</f>
        <v>27</v>
      </c>
      <c r="GB10">
        <f>63+38</f>
        <v>101</v>
      </c>
      <c r="GF10">
        <f>235+237</f>
        <v>472</v>
      </c>
      <c r="GH10">
        <f>27+21</f>
        <v>48</v>
      </c>
      <c r="GI10">
        <f>167+119</f>
        <v>286</v>
      </c>
      <c r="GJ10">
        <f>34+28</f>
        <v>62</v>
      </c>
      <c r="GO10">
        <f>22+22</f>
        <v>44</v>
      </c>
      <c r="GW10">
        <f>199+300</f>
        <v>499</v>
      </c>
      <c r="GZ10">
        <f>31+65</f>
        <v>96</v>
      </c>
      <c r="HE10">
        <f>98+144</f>
        <v>242</v>
      </c>
      <c r="HH10">
        <f>85+118</f>
        <v>203</v>
      </c>
      <c r="HJ10">
        <f>117+124</f>
        <v>241</v>
      </c>
      <c r="IF10">
        <f>160+140</f>
        <v>300</v>
      </c>
      <c r="IH10">
        <f>48+58</f>
        <v>106</v>
      </c>
      <c r="II10">
        <f>48+57</f>
        <v>105</v>
      </c>
      <c r="IJ10">
        <f>63+91</f>
        <v>154</v>
      </c>
      <c r="IK10">
        <f>152+168</f>
        <v>320</v>
      </c>
      <c r="IM10">
        <f>47+43</f>
        <v>90</v>
      </c>
      <c r="IQ10">
        <f>49+54</f>
        <v>103</v>
      </c>
      <c r="IS10">
        <f>92+78</f>
        <v>170</v>
      </c>
      <c r="JP10">
        <f>20+62</f>
        <v>82</v>
      </c>
      <c r="JV10">
        <f>146+170</f>
        <v>316</v>
      </c>
      <c r="JX10">
        <f>48+51</f>
        <v>99</v>
      </c>
      <c r="JY10">
        <f>35+38</f>
        <v>73</v>
      </c>
      <c r="KD10">
        <f>33+40</f>
        <v>73</v>
      </c>
      <c r="KH10">
        <f>134+117</f>
        <v>251</v>
      </c>
      <c r="KI10">
        <f>131+153</f>
        <v>284</v>
      </c>
      <c r="KJ10">
        <f>22+32</f>
        <v>54</v>
      </c>
      <c r="KK10">
        <f>93+137</f>
        <v>230</v>
      </c>
      <c r="KL10">
        <f>107+118</f>
        <v>225</v>
      </c>
      <c r="KO10">
        <f>64+60</f>
        <v>124</v>
      </c>
      <c r="KW10">
        <f>121+174</f>
        <v>295</v>
      </c>
      <c r="LB10">
        <f>25+48</f>
        <v>73</v>
      </c>
      <c r="LC10">
        <f>7+3</f>
        <v>10</v>
      </c>
      <c r="LE10">
        <f>32+61</f>
        <v>93</v>
      </c>
      <c r="LF10">
        <f>58+87</f>
        <v>145</v>
      </c>
      <c r="LJ10">
        <f>94+168</f>
        <v>262</v>
      </c>
      <c r="LP10">
        <f>101+79</f>
        <v>180</v>
      </c>
      <c r="LR10">
        <f>110+129</f>
        <v>239</v>
      </c>
      <c r="LS10">
        <f>36+40</f>
        <v>76</v>
      </c>
      <c r="LT10">
        <f>150+157</f>
        <v>307</v>
      </c>
      <c r="LU10">
        <f>64+104</f>
        <v>168</v>
      </c>
      <c r="LV10">
        <f>187+298</f>
        <v>485</v>
      </c>
      <c r="LX10">
        <f>132+71</f>
        <v>203</v>
      </c>
      <c r="LY10">
        <f>38+19</f>
        <v>57</v>
      </c>
      <c r="MD10">
        <f>117+146</f>
        <v>263</v>
      </c>
      <c r="MG10">
        <f>176+185</f>
        <v>361</v>
      </c>
      <c r="MH10">
        <f>88+103</f>
        <v>191</v>
      </c>
      <c r="MI10">
        <f>78+64</f>
        <v>142</v>
      </c>
      <c r="ML10">
        <f>115+146</f>
        <v>261</v>
      </c>
      <c r="MP10">
        <f>107+97</f>
        <v>204</v>
      </c>
      <c r="MS10">
        <f>42+36</f>
        <v>78</v>
      </c>
      <c r="MT10">
        <f>7+4</f>
        <v>11</v>
      </c>
      <c r="MV10">
        <f>25+39</f>
        <v>64</v>
      </c>
      <c r="NG10">
        <f>48+36</f>
        <v>84</v>
      </c>
      <c r="NH10">
        <f>38+35</f>
        <v>73</v>
      </c>
      <c r="NI10">
        <f>15+7</f>
        <v>22</v>
      </c>
      <c r="NK10">
        <f>66+93</f>
        <v>159</v>
      </c>
      <c r="NR10">
        <f>10+12</f>
        <v>22</v>
      </c>
      <c r="NZ10">
        <f>128+90</f>
        <v>218</v>
      </c>
      <c r="OH10">
        <f>102+143</f>
        <v>245</v>
      </c>
      <c r="OW10">
        <f>78+78</f>
        <v>156</v>
      </c>
      <c r="PE10">
        <f>22+20</f>
        <v>42</v>
      </c>
      <c r="PI10">
        <f>231+221</f>
        <v>452</v>
      </c>
      <c r="PK10">
        <f>66+103</f>
        <v>169</v>
      </c>
      <c r="PL10">
        <f>57+66</f>
        <v>123</v>
      </c>
      <c r="PM10">
        <f>79+100</f>
        <v>179</v>
      </c>
      <c r="PN10">
        <f>126+106</f>
        <v>232</v>
      </c>
      <c r="PU10">
        <f>59+92</f>
        <v>151</v>
      </c>
      <c r="PV10">
        <f>37+57</f>
        <v>94</v>
      </c>
      <c r="PW10">
        <f>53+57</f>
        <v>110</v>
      </c>
      <c r="PX10">
        <f>7+3</f>
        <v>10</v>
      </c>
      <c r="QJ10">
        <f>33+31</f>
        <v>64</v>
      </c>
      <c r="QL10">
        <f>80+46</f>
        <v>126</v>
      </c>
      <c r="QM10">
        <f>85+58</f>
        <v>143</v>
      </c>
      <c r="QO10">
        <f>43+61</f>
        <v>104</v>
      </c>
      <c r="QR10">
        <f>39+40</f>
        <v>79</v>
      </c>
      <c r="QS10">
        <f>37+16</f>
        <v>53</v>
      </c>
      <c r="QT10">
        <f>60+52</f>
        <v>112</v>
      </c>
      <c r="QV10">
        <f>20+21</f>
        <v>41</v>
      </c>
      <c r="QY10">
        <f>84+104</f>
        <v>188</v>
      </c>
      <c r="QZ10">
        <f>39+37</f>
        <v>76</v>
      </c>
      <c r="RA10">
        <f>194+188</f>
        <v>382</v>
      </c>
      <c r="RC10">
        <f>162+167</f>
        <v>329</v>
      </c>
      <c r="RD10">
        <f>30+49</f>
        <v>79</v>
      </c>
      <c r="RF10">
        <f>47+54</f>
        <v>101</v>
      </c>
      <c r="RG10">
        <f>65+60</f>
        <v>125</v>
      </c>
      <c r="RH10">
        <f>87+107</f>
        <v>194</v>
      </c>
      <c r="RJ10">
        <f>10+14</f>
        <v>24</v>
      </c>
      <c r="RK10">
        <f>56+63</f>
        <v>119</v>
      </c>
      <c r="RL10">
        <f>22+22</f>
        <v>44</v>
      </c>
      <c r="RN10">
        <f>33+24</f>
        <v>57</v>
      </c>
      <c r="SC10">
        <f>98+77</f>
        <v>175</v>
      </c>
      <c r="SD10">
        <f>30+30</f>
        <v>60</v>
      </c>
      <c r="SE10">
        <f>133+106</f>
        <v>239</v>
      </c>
      <c r="SF10">
        <f>5+4</f>
        <v>9</v>
      </c>
      <c r="SG10">
        <f>18+39</f>
        <v>57</v>
      </c>
      <c r="SI10">
        <f>307+314</f>
        <v>621</v>
      </c>
      <c r="SK10">
        <f>33+98</f>
        <v>131</v>
      </c>
      <c r="SQ10">
        <f>67+61</f>
        <v>128</v>
      </c>
      <c r="SR10">
        <f>6+3</f>
        <v>9</v>
      </c>
      <c r="SS10">
        <f>79+184</f>
        <v>263</v>
      </c>
      <c r="TA10">
        <f>29+44</f>
        <v>73</v>
      </c>
      <c r="TB10">
        <f>6+4</f>
        <v>10</v>
      </c>
      <c r="TC10">
        <f>56+80</f>
        <v>136</v>
      </c>
      <c r="TJ10">
        <f>34+39</f>
        <v>73</v>
      </c>
      <c r="TM10">
        <f>24+43</f>
        <v>67</v>
      </c>
      <c r="TO10">
        <f>36+35</f>
        <v>71</v>
      </c>
      <c r="UM10">
        <f>111+116</f>
        <v>227</v>
      </c>
      <c r="UQ10">
        <f>55+113</f>
        <v>168</v>
      </c>
      <c r="US10">
        <f>87+112</f>
        <v>199</v>
      </c>
      <c r="UU10">
        <f>58+59</f>
        <v>117</v>
      </c>
      <c r="UV10">
        <f>42+39</f>
        <v>81</v>
      </c>
      <c r="VH10">
        <f>116+89</f>
        <v>205</v>
      </c>
    </row>
    <row r="11" spans="1:581" x14ac:dyDescent="0.2">
      <c r="A11" t="s">
        <v>574</v>
      </c>
      <c r="B11" t="s">
        <v>575</v>
      </c>
      <c r="C11">
        <v>65</v>
      </c>
      <c r="D11">
        <f t="shared" si="18"/>
        <v>19828</v>
      </c>
      <c r="E11">
        <f t="shared" si="19"/>
        <v>113</v>
      </c>
      <c r="F11">
        <v>6.52</v>
      </c>
      <c r="G11">
        <v>15</v>
      </c>
      <c r="H11">
        <v>3.04</v>
      </c>
      <c r="I11" s="1" t="s">
        <v>576</v>
      </c>
      <c r="O11">
        <f>12+0</f>
        <v>12</v>
      </c>
      <c r="Q11">
        <f>11+2</f>
        <v>13</v>
      </c>
      <c r="R11">
        <f>12+0</f>
        <v>12</v>
      </c>
      <c r="T11">
        <f>5+2</f>
        <v>7</v>
      </c>
      <c r="W11">
        <f>11+1</f>
        <v>12</v>
      </c>
      <c r="X11">
        <f>7+0</f>
        <v>7</v>
      </c>
      <c r="Y11">
        <f>9+0</f>
        <v>9</v>
      </c>
      <c r="Z11">
        <f>7+0</f>
        <v>7</v>
      </c>
      <c r="AB11">
        <f>6+0</f>
        <v>6</v>
      </c>
      <c r="AF11">
        <f>7+2</f>
        <v>9</v>
      </c>
      <c r="AH11">
        <f>6+0</f>
        <v>6</v>
      </c>
      <c r="AI11">
        <f>7+0</f>
        <v>7</v>
      </c>
      <c r="AL11">
        <f>23+0</f>
        <v>23</v>
      </c>
      <c r="AM11">
        <f>6+0</f>
        <v>6</v>
      </c>
      <c r="AN11">
        <f>24+2</f>
        <v>26</v>
      </c>
      <c r="AQ11">
        <f>17+1</f>
        <v>18</v>
      </c>
      <c r="AR11">
        <f>7+2</f>
        <v>9</v>
      </c>
      <c r="AT11">
        <f>5+0</f>
        <v>5</v>
      </c>
      <c r="AU11">
        <f>12+1</f>
        <v>13</v>
      </c>
      <c r="AV11">
        <f>17+1</f>
        <v>18</v>
      </c>
      <c r="AW11">
        <f>7+0</f>
        <v>7</v>
      </c>
      <c r="AX11">
        <f>8+0</f>
        <v>8</v>
      </c>
      <c r="AY11">
        <f>10+0</f>
        <v>10</v>
      </c>
      <c r="AZ11">
        <f>9+0</f>
        <v>9</v>
      </c>
      <c r="BA11">
        <f>9+1</f>
        <v>10</v>
      </c>
      <c r="BB11">
        <f>6+1</f>
        <v>7</v>
      </c>
      <c r="BC11">
        <f>4+0</f>
        <v>4</v>
      </c>
      <c r="BD11">
        <f>14+2</f>
        <v>16</v>
      </c>
      <c r="BE11">
        <f>9+4</f>
        <v>13</v>
      </c>
      <c r="BF11">
        <f>10+1</f>
        <v>11</v>
      </c>
      <c r="BH11">
        <f>13+2</f>
        <v>15</v>
      </c>
      <c r="BJ11">
        <f>6+0</f>
        <v>6</v>
      </c>
      <c r="BK11">
        <f>8+1</f>
        <v>9</v>
      </c>
      <c r="BL11">
        <f>4+0</f>
        <v>4</v>
      </c>
      <c r="BM11">
        <f>4+0</f>
        <v>4</v>
      </c>
      <c r="BN11">
        <f>6+1</f>
        <v>7</v>
      </c>
      <c r="BO11">
        <f>9+0</f>
        <v>9</v>
      </c>
      <c r="BP11">
        <f>6+3</f>
        <v>9</v>
      </c>
      <c r="BQ11">
        <f>8+0</f>
        <v>8</v>
      </c>
      <c r="BR11">
        <f>17+2</f>
        <v>19</v>
      </c>
      <c r="BS11">
        <f>9+0</f>
        <v>9</v>
      </c>
      <c r="BZ11">
        <f>6+0</f>
        <v>6</v>
      </c>
      <c r="CB11">
        <f>11+0</f>
        <v>11</v>
      </c>
      <c r="CD11">
        <f>7+1</f>
        <v>8</v>
      </c>
      <c r="CG11">
        <f>9+0</f>
        <v>9</v>
      </c>
      <c r="CJ11">
        <f>7+0</f>
        <v>7</v>
      </c>
      <c r="CK11">
        <f>7+2</f>
        <v>9</v>
      </c>
      <c r="CP11">
        <f>6+0</f>
        <v>6</v>
      </c>
      <c r="CQ11">
        <f>9+1</f>
        <v>10</v>
      </c>
      <c r="CW11">
        <f>6+1</f>
        <v>7</v>
      </c>
      <c r="CX11">
        <f>7+0</f>
        <v>7</v>
      </c>
      <c r="DH11">
        <f>142+14</f>
        <v>156</v>
      </c>
      <c r="DJ11">
        <f>7+0</f>
        <v>7</v>
      </c>
      <c r="DN11">
        <f>258+29</f>
        <v>287</v>
      </c>
      <c r="DQ11">
        <f>560+55</f>
        <v>615</v>
      </c>
      <c r="DR11">
        <f>495+51</f>
        <v>546</v>
      </c>
      <c r="DS11">
        <f>229+27</f>
        <v>256</v>
      </c>
      <c r="DU11">
        <f>228+42</f>
        <v>270</v>
      </c>
      <c r="DV11">
        <f>219+25</f>
        <v>244</v>
      </c>
      <c r="DY11">
        <f>355+35</f>
        <v>390</v>
      </c>
      <c r="EA11">
        <f>535+62</f>
        <v>597</v>
      </c>
      <c r="EB11">
        <f>283+27</f>
        <v>310</v>
      </c>
      <c r="EC11">
        <f>349+38</f>
        <v>387</v>
      </c>
      <c r="ED11">
        <f>574+45</f>
        <v>619</v>
      </c>
      <c r="EE11">
        <f>378+42</f>
        <v>420</v>
      </c>
      <c r="EF11">
        <f>295+40</f>
        <v>335</v>
      </c>
      <c r="EJ11">
        <f>149+20</f>
        <v>169</v>
      </c>
      <c r="EK11">
        <f>251+21</f>
        <v>272</v>
      </c>
      <c r="EL11">
        <f>300+23</f>
        <v>323</v>
      </c>
      <c r="EM11">
        <f>135+17</f>
        <v>152</v>
      </c>
      <c r="EO11">
        <f>293+35</f>
        <v>328</v>
      </c>
      <c r="EP11">
        <f>253+38</f>
        <v>291</v>
      </c>
      <c r="EQ11">
        <f>487+50</f>
        <v>537</v>
      </c>
      <c r="ES11">
        <f>337+48</f>
        <v>385</v>
      </c>
      <c r="EU11">
        <f>204+18</f>
        <v>222</v>
      </c>
      <c r="EV11">
        <f>326+40</f>
        <v>366</v>
      </c>
      <c r="EW11">
        <f>195+26</f>
        <v>221</v>
      </c>
      <c r="EX11">
        <f>163+21</f>
        <v>184</v>
      </c>
      <c r="EZ11">
        <f>152+11</f>
        <v>163</v>
      </c>
      <c r="FA11">
        <f>285+30</f>
        <v>315</v>
      </c>
      <c r="FB11">
        <f>302+40</f>
        <v>342</v>
      </c>
      <c r="FF11">
        <f>6+0</f>
        <v>6</v>
      </c>
      <c r="FG11">
        <f>234+28</f>
        <v>262</v>
      </c>
      <c r="FH11">
        <f>180+18</f>
        <v>198</v>
      </c>
      <c r="FJ11">
        <f>294+27</f>
        <v>321</v>
      </c>
      <c r="FM11">
        <f>184+22</f>
        <v>206</v>
      </c>
      <c r="FN11">
        <f>293+31</f>
        <v>324</v>
      </c>
      <c r="FO11">
        <f>195+19</f>
        <v>214</v>
      </c>
      <c r="JA11">
        <f>191+14</f>
        <v>205</v>
      </c>
      <c r="JB11">
        <f>596+54</f>
        <v>650</v>
      </c>
      <c r="JC11">
        <f>430+37</f>
        <v>467</v>
      </c>
      <c r="JD11">
        <f>527+63</f>
        <v>590</v>
      </c>
      <c r="JE11">
        <f>432+47</f>
        <v>479</v>
      </c>
      <c r="JF11">
        <f>222+19</f>
        <v>241</v>
      </c>
      <c r="JL11">
        <f>15+0</f>
        <v>15</v>
      </c>
      <c r="JM11">
        <f>7+1</f>
        <v>8</v>
      </c>
      <c r="KE11">
        <f>426+54</f>
        <v>480</v>
      </c>
      <c r="KF11">
        <f>679+68</f>
        <v>747</v>
      </c>
      <c r="RY11">
        <f>21+1</f>
        <v>22</v>
      </c>
      <c r="TS11">
        <f>290+30</f>
        <v>320</v>
      </c>
      <c r="TT11">
        <f>336+32</f>
        <v>368</v>
      </c>
      <c r="TV11">
        <f>198+20</f>
        <v>218</v>
      </c>
      <c r="TX11">
        <f>232+25</f>
        <v>257</v>
      </c>
      <c r="TY11">
        <f>22+1</f>
        <v>23</v>
      </c>
      <c r="TZ11">
        <f>205+21</f>
        <v>226</v>
      </c>
      <c r="UD11">
        <f>313+36</f>
        <v>349</v>
      </c>
      <c r="UG11">
        <f>297+32</f>
        <v>329</v>
      </c>
      <c r="UH11">
        <f>333+50</f>
        <v>383</v>
      </c>
      <c r="UI11">
        <f>290+46</f>
        <v>336</v>
      </c>
      <c r="UJ11">
        <f>486+77</f>
        <v>563</v>
      </c>
      <c r="UK11">
        <f>312+23</f>
        <v>335</v>
      </c>
      <c r="UN11">
        <f>178+17</f>
        <v>195</v>
      </c>
      <c r="UO11">
        <f>256+27</f>
        <v>283</v>
      </c>
    </row>
    <row r="12" spans="1:581" x14ac:dyDescent="0.2">
      <c r="A12" t="s">
        <v>577</v>
      </c>
      <c r="B12" t="s">
        <v>578</v>
      </c>
      <c r="C12">
        <v>269</v>
      </c>
      <c r="D12">
        <f t="shared" si="18"/>
        <v>19217</v>
      </c>
      <c r="E12">
        <f t="shared" si="19"/>
        <v>133</v>
      </c>
      <c r="F12">
        <v>6.23</v>
      </c>
      <c r="G12">
        <v>26.66</v>
      </c>
      <c r="H12">
        <v>3.02</v>
      </c>
      <c r="I12" s="1" t="s">
        <v>579</v>
      </c>
      <c r="J12">
        <f>6+9</f>
        <v>15</v>
      </c>
      <c r="L12">
        <f>7+2</f>
        <v>9</v>
      </c>
      <c r="AH12">
        <f>5+4</f>
        <v>9</v>
      </c>
      <c r="AV12">
        <f>5+2</f>
        <v>7</v>
      </c>
      <c r="BP12">
        <f>5+5</f>
        <v>10</v>
      </c>
      <c r="BR12">
        <f>6+14</f>
        <v>20</v>
      </c>
      <c r="CJ12">
        <f>4+0</f>
        <v>4</v>
      </c>
      <c r="CV12">
        <f>11+5</f>
        <v>16</v>
      </c>
      <c r="DA12">
        <f>4+0</f>
        <v>4</v>
      </c>
      <c r="DI12">
        <f>174+147</f>
        <v>321</v>
      </c>
      <c r="DJ12">
        <f>5+3</f>
        <v>8</v>
      </c>
      <c r="DK12">
        <f>177+139</f>
        <v>316</v>
      </c>
      <c r="DM12">
        <f>313+287</f>
        <v>600</v>
      </c>
      <c r="DP12">
        <f>141+129</f>
        <v>270</v>
      </c>
      <c r="DS12">
        <f>105+103</f>
        <v>208</v>
      </c>
      <c r="DW12">
        <f>99+112</f>
        <v>211</v>
      </c>
      <c r="EH12">
        <f>85+90</f>
        <v>175</v>
      </c>
      <c r="EI12">
        <f>70+93</f>
        <v>163</v>
      </c>
      <c r="ER12">
        <f>65+101</f>
        <v>166</v>
      </c>
      <c r="EY12">
        <f>88+120</f>
        <v>208</v>
      </c>
      <c r="FA12">
        <f>107+160</f>
        <v>267</v>
      </c>
      <c r="FH12">
        <f>99+149</f>
        <v>248</v>
      </c>
      <c r="FL12">
        <f>140+174</f>
        <v>314</v>
      </c>
      <c r="FQ12">
        <f>125+186</f>
        <v>311</v>
      </c>
      <c r="FR12">
        <f>129+155</f>
        <v>284</v>
      </c>
      <c r="FV12">
        <f>74+69</f>
        <v>143</v>
      </c>
      <c r="FW12">
        <f>12+10</f>
        <v>22</v>
      </c>
      <c r="FX12">
        <f>25+16</f>
        <v>41</v>
      </c>
      <c r="GA12">
        <f>24+24</f>
        <v>48</v>
      </c>
      <c r="GB12">
        <f>31+27</f>
        <v>58</v>
      </c>
      <c r="GC12">
        <f>15+13</f>
        <v>28</v>
      </c>
      <c r="GD12">
        <f>28+21</f>
        <v>49</v>
      </c>
      <c r="GF12">
        <f>96+67</f>
        <v>163</v>
      </c>
      <c r="GG12">
        <f>11+9</f>
        <v>20</v>
      </c>
      <c r="GH12">
        <f>56+44</f>
        <v>100</v>
      </c>
      <c r="GJ12">
        <f>38+34</f>
        <v>72</v>
      </c>
      <c r="GQ12">
        <f>34+65</f>
        <v>99</v>
      </c>
      <c r="GR12">
        <f>39+45</f>
        <v>84</v>
      </c>
      <c r="GS12">
        <f>17+29</f>
        <v>46</v>
      </c>
      <c r="GT12">
        <f>20+37</f>
        <v>57</v>
      </c>
      <c r="GU12">
        <f>63+134</f>
        <v>197</v>
      </c>
      <c r="GW12">
        <f>101+115</f>
        <v>216</v>
      </c>
      <c r="GZ12">
        <f>97+143</f>
        <v>240</v>
      </c>
      <c r="HB12">
        <f>90+97</f>
        <v>187</v>
      </c>
      <c r="HE12">
        <f>175+147</f>
        <v>322</v>
      </c>
      <c r="HG12">
        <f>99+119</f>
        <v>218</v>
      </c>
      <c r="IJ12">
        <f>66+64</f>
        <v>130</v>
      </c>
      <c r="IO12">
        <f>53+60</f>
        <v>113</v>
      </c>
      <c r="IQ12">
        <f>43+50</f>
        <v>93</v>
      </c>
      <c r="IS12">
        <f>22+24</f>
        <v>46</v>
      </c>
      <c r="JR12">
        <f>301+224</f>
        <v>525</v>
      </c>
      <c r="JU12">
        <f>119+114</f>
        <v>233</v>
      </c>
      <c r="JV12">
        <f>62+47</f>
        <v>109</v>
      </c>
      <c r="JX12">
        <f>45+45</f>
        <v>90</v>
      </c>
      <c r="JZ12">
        <f>7+3</f>
        <v>10</v>
      </c>
      <c r="KA12">
        <f>60+32</f>
        <v>92</v>
      </c>
      <c r="KB12">
        <f>49+37</f>
        <v>86</v>
      </c>
      <c r="KD12">
        <f>69+108</f>
        <v>177</v>
      </c>
      <c r="KH12">
        <f>160+172</f>
        <v>332</v>
      </c>
      <c r="KI12">
        <f>45+56</f>
        <v>101</v>
      </c>
      <c r="KJ12">
        <f>40+30</f>
        <v>70</v>
      </c>
      <c r="KK12">
        <f>136+144</f>
        <v>280</v>
      </c>
      <c r="KL12">
        <f>139+107</f>
        <v>246</v>
      </c>
      <c r="KN12">
        <f>100+84</f>
        <v>184</v>
      </c>
      <c r="LA12">
        <f>35+54</f>
        <v>89</v>
      </c>
      <c r="LC12">
        <f>7+2</f>
        <v>9</v>
      </c>
      <c r="LK12">
        <f>141+230</f>
        <v>371</v>
      </c>
      <c r="LL12">
        <f>104+206</f>
        <v>310</v>
      </c>
      <c r="LP12">
        <f>188+205</f>
        <v>393</v>
      </c>
      <c r="LQ12">
        <f>87+33</f>
        <v>120</v>
      </c>
      <c r="LR12">
        <f>110+115</f>
        <v>225</v>
      </c>
      <c r="LS12">
        <f>69+72</f>
        <v>141</v>
      </c>
      <c r="LT12">
        <f>137+162</f>
        <v>299</v>
      </c>
      <c r="LV12">
        <f>71+63</f>
        <v>134</v>
      </c>
      <c r="MA12">
        <f>18+0</f>
        <v>18</v>
      </c>
      <c r="MD12">
        <f>115+129</f>
        <v>244</v>
      </c>
      <c r="ML12">
        <f>112+150</f>
        <v>262</v>
      </c>
      <c r="MN12">
        <f>53+55</f>
        <v>108</v>
      </c>
      <c r="MO12">
        <f>35+28</f>
        <v>63</v>
      </c>
      <c r="MP12">
        <f>28+30</f>
        <v>58</v>
      </c>
      <c r="MR12">
        <f>158+222</f>
        <v>380</v>
      </c>
      <c r="NF12">
        <f>15+18</f>
        <v>33</v>
      </c>
      <c r="NH12">
        <f>37+61</f>
        <v>98</v>
      </c>
      <c r="NI12">
        <f>7+3</f>
        <v>10</v>
      </c>
      <c r="NK12">
        <f>24+41</f>
        <v>65</v>
      </c>
      <c r="NM12">
        <f>102+158</f>
        <v>260</v>
      </c>
      <c r="NN12">
        <f>73+125</f>
        <v>198</v>
      </c>
      <c r="NO12">
        <f>118+216</f>
        <v>334</v>
      </c>
      <c r="NX12">
        <f>32+30</f>
        <v>62</v>
      </c>
      <c r="PC12">
        <f>20+22</f>
        <v>42</v>
      </c>
      <c r="PM12">
        <f>138+164</f>
        <v>302</v>
      </c>
      <c r="PW12">
        <f>45+69</f>
        <v>114</v>
      </c>
      <c r="PY12">
        <f>8+3</f>
        <v>11</v>
      </c>
      <c r="QB12">
        <f>25+21</f>
        <v>46</v>
      </c>
      <c r="QH12">
        <f>11+8</f>
        <v>19</v>
      </c>
      <c r="QK12">
        <f>14+15</f>
        <v>29</v>
      </c>
      <c r="QL12">
        <f>34+33</f>
        <v>67</v>
      </c>
      <c r="QQ12">
        <f>24+40</f>
        <v>64</v>
      </c>
      <c r="QU12">
        <f>9+5</f>
        <v>14</v>
      </c>
      <c r="QV12">
        <f>23+55</f>
        <v>78</v>
      </c>
      <c r="QW12">
        <f>6+3</f>
        <v>9</v>
      </c>
      <c r="QY12">
        <f>118+153</f>
        <v>271</v>
      </c>
      <c r="QZ12">
        <f>60+121</f>
        <v>181</v>
      </c>
      <c r="RA12">
        <f>262+349</f>
        <v>611</v>
      </c>
      <c r="RC12">
        <f>65+39</f>
        <v>104</v>
      </c>
      <c r="RD12">
        <f>20+18</f>
        <v>38</v>
      </c>
      <c r="RF12">
        <f>122+165</f>
        <v>287</v>
      </c>
      <c r="RN12">
        <f>31+25</f>
        <v>56</v>
      </c>
      <c r="RU12">
        <f>53+46</f>
        <v>99</v>
      </c>
      <c r="SF12">
        <f>10+8</f>
        <v>18</v>
      </c>
      <c r="SG12">
        <f>35+52</f>
        <v>87</v>
      </c>
      <c r="SH12">
        <f>33+17</f>
        <v>50</v>
      </c>
      <c r="SI12">
        <f>148+135</f>
        <v>283</v>
      </c>
      <c r="SK12">
        <f>79+142</f>
        <v>221</v>
      </c>
      <c r="SL12">
        <f>28+50</f>
        <v>78</v>
      </c>
      <c r="SM12">
        <f>68+135</f>
        <v>203</v>
      </c>
      <c r="SN12">
        <f>29+14</f>
        <v>43</v>
      </c>
      <c r="SO12">
        <f>182+129</f>
        <v>311</v>
      </c>
      <c r="SZ12">
        <f>31+47</f>
        <v>78</v>
      </c>
      <c r="TD12">
        <f>86+50</f>
        <v>136</v>
      </c>
      <c r="TE12">
        <f>124+72</f>
        <v>196</v>
      </c>
      <c r="TG12">
        <f>53+22</f>
        <v>75</v>
      </c>
      <c r="TI12">
        <f>35+57</f>
        <v>92</v>
      </c>
      <c r="TM12">
        <f>25+40</f>
        <v>65</v>
      </c>
      <c r="TN12">
        <f>25+25</f>
        <v>50</v>
      </c>
      <c r="TO12">
        <f>27+40</f>
        <v>67</v>
      </c>
      <c r="TP12">
        <f>15+12</f>
        <v>27</v>
      </c>
      <c r="TQ12">
        <f>28+26</f>
        <v>54</v>
      </c>
      <c r="TW12">
        <f>68+82</f>
        <v>150</v>
      </c>
      <c r="UE12">
        <f>84+138</f>
        <v>222</v>
      </c>
      <c r="UQ12">
        <f>78+161</f>
        <v>239</v>
      </c>
      <c r="UV12">
        <f>62+67</f>
        <v>129</v>
      </c>
      <c r="VD12">
        <f>46+80</f>
        <v>126</v>
      </c>
    </row>
    <row r="13" spans="1:581" x14ac:dyDescent="0.2">
      <c r="A13" t="s">
        <v>580</v>
      </c>
      <c r="B13" t="s">
        <v>581</v>
      </c>
      <c r="C13">
        <v>269</v>
      </c>
      <c r="D13">
        <f t="shared" si="18"/>
        <v>18776</v>
      </c>
      <c r="E13">
        <f t="shared" si="19"/>
        <v>124</v>
      </c>
      <c r="F13">
        <v>6.86</v>
      </c>
      <c r="G13">
        <v>28.67</v>
      </c>
      <c r="H13">
        <v>3</v>
      </c>
      <c r="I13" s="1" t="s">
        <v>582</v>
      </c>
      <c r="M13">
        <f>9+10</f>
        <v>19</v>
      </c>
      <c r="AA13">
        <f>12+6</f>
        <v>18</v>
      </c>
      <c r="AD13">
        <f>4+0</f>
        <v>4</v>
      </c>
      <c r="AL13">
        <f>9+9</f>
        <v>18</v>
      </c>
      <c r="AM13">
        <f>14+14</f>
        <v>28</v>
      </c>
      <c r="AS13">
        <f>5+4</f>
        <v>9</v>
      </c>
      <c r="AT13">
        <f>7+3</f>
        <v>10</v>
      </c>
      <c r="AZ13">
        <f>6+2</f>
        <v>8</v>
      </c>
      <c r="BA13">
        <f>5+2</f>
        <v>7</v>
      </c>
      <c r="BJ13">
        <f>5+1</f>
        <v>6</v>
      </c>
      <c r="BN13">
        <f>6+6</f>
        <v>12</v>
      </c>
      <c r="BQ13">
        <f>7+2</f>
        <v>9</v>
      </c>
      <c r="BU13">
        <f>6+8</f>
        <v>14</v>
      </c>
      <c r="BV13">
        <f>5+2</f>
        <v>7</v>
      </c>
      <c r="BY13">
        <f>8+4</f>
        <v>12</v>
      </c>
      <c r="CA13">
        <f>8+5</f>
        <v>13</v>
      </c>
      <c r="CB13">
        <f>9+12</f>
        <v>21</v>
      </c>
      <c r="CE13">
        <f>6+11</f>
        <v>17</v>
      </c>
      <c r="CF13">
        <f>8+13</f>
        <v>21</v>
      </c>
      <c r="CG13">
        <f>8+6</f>
        <v>14</v>
      </c>
      <c r="CH13">
        <f>16+25</f>
        <v>41</v>
      </c>
      <c r="CL13">
        <f>7+4</f>
        <v>11</v>
      </c>
      <c r="CM13">
        <f>12+10</f>
        <v>22</v>
      </c>
      <c r="CN13">
        <f>6+5</f>
        <v>11</v>
      </c>
      <c r="CR13">
        <f>9+8</f>
        <v>17</v>
      </c>
      <c r="CW13">
        <f>5+2</f>
        <v>7</v>
      </c>
      <c r="CZ13">
        <f>7+2</f>
        <v>9</v>
      </c>
      <c r="EJ13">
        <f>89+65</f>
        <v>154</v>
      </c>
      <c r="EK13">
        <f>129+117</f>
        <v>246</v>
      </c>
      <c r="EV13">
        <f>122+88</f>
        <v>210</v>
      </c>
      <c r="EZ13">
        <f>207+169</f>
        <v>376</v>
      </c>
      <c r="FI13">
        <f>207+219</f>
        <v>426</v>
      </c>
      <c r="FJ13">
        <f>152+109</f>
        <v>261</v>
      </c>
      <c r="FK13">
        <f>118+107</f>
        <v>225</v>
      </c>
      <c r="FM13">
        <f>208+124</f>
        <v>332</v>
      </c>
      <c r="FP13">
        <f>184+214</f>
        <v>398</v>
      </c>
      <c r="FW13">
        <f>12+9</f>
        <v>21</v>
      </c>
      <c r="GC13">
        <f>29+27</f>
        <v>56</v>
      </c>
      <c r="GD13">
        <f>26+15</f>
        <v>41</v>
      </c>
      <c r="GG13">
        <f>17+13</f>
        <v>30</v>
      </c>
      <c r="GJ13">
        <f>27+15</f>
        <v>42</v>
      </c>
      <c r="GR13">
        <f>49+52</f>
        <v>101</v>
      </c>
      <c r="GS13">
        <f>28+21</f>
        <v>49</v>
      </c>
      <c r="GU13">
        <f>64+48</f>
        <v>112</v>
      </c>
      <c r="GV13">
        <f>206+302</f>
        <v>508</v>
      </c>
      <c r="HA13">
        <f>38+42</f>
        <v>80</v>
      </c>
      <c r="HB13">
        <f>131+123</f>
        <v>254</v>
      </c>
      <c r="HD13">
        <f>150+159</f>
        <v>309</v>
      </c>
      <c r="HF13">
        <f>304+222</f>
        <v>526</v>
      </c>
      <c r="HK13">
        <f>83+76</f>
        <v>159</v>
      </c>
      <c r="HR13">
        <f>281+190</f>
        <v>471</v>
      </c>
      <c r="IG13">
        <f>35+32</f>
        <v>67</v>
      </c>
      <c r="IH13">
        <f>43+64</f>
        <v>107</v>
      </c>
      <c r="II13">
        <f>68+79</f>
        <v>147</v>
      </c>
      <c r="IM13">
        <f>31+45</f>
        <v>76</v>
      </c>
      <c r="IN13">
        <f>55+50</f>
        <v>105</v>
      </c>
      <c r="IO13">
        <f>87+62</f>
        <v>149</v>
      </c>
      <c r="IP13">
        <f>117+162</f>
        <v>279</v>
      </c>
      <c r="IT13">
        <f>57+47</f>
        <v>104</v>
      </c>
      <c r="IU13">
        <f>67+101</f>
        <v>168</v>
      </c>
      <c r="IV13">
        <f>32+46</f>
        <v>78</v>
      </c>
      <c r="IW13">
        <f>5+2</f>
        <v>7</v>
      </c>
      <c r="IX13">
        <f>28+29</f>
        <v>57</v>
      </c>
      <c r="IZ13">
        <f>81+138</f>
        <v>219</v>
      </c>
      <c r="JC13">
        <f>126+88</f>
        <v>214</v>
      </c>
      <c r="JM13">
        <f>5+6</f>
        <v>11</v>
      </c>
      <c r="JT13">
        <f>81+123</f>
        <v>204</v>
      </c>
      <c r="KB13">
        <f>47+44</f>
        <v>91</v>
      </c>
      <c r="KC13">
        <f>34+49</f>
        <v>83</v>
      </c>
      <c r="KE13">
        <f>97+86</f>
        <v>183</v>
      </c>
      <c r="KF13">
        <f>108+117</f>
        <v>225</v>
      </c>
      <c r="KH13">
        <f>237+110</f>
        <v>347</v>
      </c>
      <c r="KN13">
        <f>181+144</f>
        <v>325</v>
      </c>
      <c r="KP13">
        <f>196+116</f>
        <v>312</v>
      </c>
      <c r="KS13">
        <f>11+13</f>
        <v>24</v>
      </c>
      <c r="LC13">
        <f>9+4</f>
        <v>13</v>
      </c>
      <c r="LD13">
        <f>27+19</f>
        <v>46</v>
      </c>
      <c r="LF13">
        <f>82+82</f>
        <v>164</v>
      </c>
      <c r="LG13">
        <f>81+70</f>
        <v>151</v>
      </c>
      <c r="LH13">
        <f>73+51</f>
        <v>124</v>
      </c>
      <c r="LJ13">
        <f>127+173</f>
        <v>300</v>
      </c>
      <c r="LO13">
        <f>134+152</f>
        <v>286</v>
      </c>
      <c r="MQ13">
        <f>10+0</f>
        <v>10</v>
      </c>
      <c r="NG13">
        <f>50+32</f>
        <v>82</v>
      </c>
      <c r="NM13">
        <f>153+203</f>
        <v>356</v>
      </c>
      <c r="NN13">
        <f>78+77</f>
        <v>155</v>
      </c>
      <c r="NO13">
        <f>181+215</f>
        <v>396</v>
      </c>
      <c r="NW13">
        <f>134+77</f>
        <v>211</v>
      </c>
      <c r="OB13">
        <f>124+74</f>
        <v>198</v>
      </c>
      <c r="OC13">
        <f>21+16</f>
        <v>37</v>
      </c>
      <c r="OM13">
        <f>43+48</f>
        <v>91</v>
      </c>
      <c r="OO13">
        <f>75+104</f>
        <v>179</v>
      </c>
      <c r="OP13">
        <f>85+81</f>
        <v>166</v>
      </c>
      <c r="OX13">
        <f>60+90</f>
        <v>150</v>
      </c>
      <c r="PA13">
        <f>15+23</f>
        <v>38</v>
      </c>
      <c r="PS13">
        <f>212+225</f>
        <v>437</v>
      </c>
      <c r="PV13">
        <f>54+60</f>
        <v>114</v>
      </c>
      <c r="PZ13">
        <f>280+279</f>
        <v>559</v>
      </c>
      <c r="QF13">
        <f>163+243</f>
        <v>406</v>
      </c>
      <c r="QM13">
        <f>95+50</f>
        <v>145</v>
      </c>
      <c r="QP13">
        <f>18+53</f>
        <v>71</v>
      </c>
      <c r="QU13">
        <f>7+7</f>
        <v>14</v>
      </c>
      <c r="QW13">
        <f>6+3</f>
        <v>9</v>
      </c>
      <c r="RE13">
        <f>379+516</f>
        <v>895</v>
      </c>
      <c r="RI13">
        <f>179+146</f>
        <v>325</v>
      </c>
      <c r="RL13">
        <f>50+24</f>
        <v>74</v>
      </c>
      <c r="RW13">
        <f>118+134</f>
        <v>252</v>
      </c>
      <c r="RX13">
        <f>119+124</f>
        <v>243</v>
      </c>
      <c r="SH13">
        <f>39+25</f>
        <v>64</v>
      </c>
      <c r="SJ13">
        <f>10+5</f>
        <v>15</v>
      </c>
      <c r="SK13">
        <f>114+191</f>
        <v>305</v>
      </c>
      <c r="SP13">
        <f>76+87</f>
        <v>163</v>
      </c>
      <c r="ST13">
        <f>148+217</f>
        <v>365</v>
      </c>
      <c r="TL13">
        <f>57+62</f>
        <v>119</v>
      </c>
      <c r="TR13">
        <f>135+134</f>
        <v>269</v>
      </c>
      <c r="TZ13">
        <f>67+92</f>
        <v>159</v>
      </c>
      <c r="UM13">
        <f>297+240</f>
        <v>537</v>
      </c>
      <c r="UN13">
        <f>108+113</f>
        <v>221</v>
      </c>
      <c r="UP13">
        <f>99+104</f>
        <v>203</v>
      </c>
      <c r="UV13">
        <f>62+28</f>
        <v>90</v>
      </c>
      <c r="UZ13">
        <f>15+9</f>
        <v>24</v>
      </c>
      <c r="VB13">
        <f>13+9</f>
        <v>22</v>
      </c>
      <c r="VF13">
        <f>65+40</f>
        <v>105</v>
      </c>
      <c r="VG13">
        <f>48+16</f>
        <v>64</v>
      </c>
    </row>
    <row r="14" spans="1:581" x14ac:dyDescent="0.2">
      <c r="A14" t="s">
        <v>583</v>
      </c>
      <c r="B14" t="s">
        <v>584</v>
      </c>
      <c r="C14">
        <v>269</v>
      </c>
      <c r="D14">
        <f t="shared" si="18"/>
        <v>14192</v>
      </c>
      <c r="E14">
        <f t="shared" si="19"/>
        <v>106</v>
      </c>
      <c r="F14">
        <v>6.42</v>
      </c>
      <c r="G14">
        <v>23.81</v>
      </c>
      <c r="H14">
        <v>3.02</v>
      </c>
      <c r="I14" s="1" t="s">
        <v>585</v>
      </c>
      <c r="K14">
        <f>8+2</f>
        <v>10</v>
      </c>
      <c r="N14">
        <f>5+3</f>
        <v>8</v>
      </c>
      <c r="X14">
        <f>4+0</f>
        <v>4</v>
      </c>
      <c r="BS14">
        <f>6+5</f>
        <v>11</v>
      </c>
      <c r="CI14">
        <f>8+2</f>
        <v>10</v>
      </c>
      <c r="EO14">
        <f>120+105</f>
        <v>225</v>
      </c>
      <c r="EQ14">
        <f>93+82</f>
        <v>175</v>
      </c>
      <c r="ET14">
        <f>91+87</f>
        <v>178</v>
      </c>
      <c r="EU14">
        <f>77+85</f>
        <v>162</v>
      </c>
      <c r="FD14">
        <f>82+69</f>
        <v>151</v>
      </c>
      <c r="FS14">
        <f>8+6</f>
        <v>14</v>
      </c>
      <c r="FT14">
        <f>101+69</f>
        <v>170</v>
      </c>
      <c r="FU14">
        <f>119+120</f>
        <v>239</v>
      </c>
      <c r="FW14">
        <f>12+6</f>
        <v>18</v>
      </c>
      <c r="FX14">
        <f>14+18</f>
        <v>32</v>
      </c>
      <c r="GB14">
        <f>46+16</f>
        <v>62</v>
      </c>
      <c r="GF14">
        <f>168+86</f>
        <v>254</v>
      </c>
      <c r="GI14">
        <f>126+69</f>
        <v>195</v>
      </c>
      <c r="GO14">
        <f>14+12</f>
        <v>26</v>
      </c>
      <c r="GW14">
        <f>125+108</f>
        <v>233</v>
      </c>
      <c r="GZ14">
        <f>34+41</f>
        <v>75</v>
      </c>
      <c r="HH14">
        <f>82+74</f>
        <v>156</v>
      </c>
      <c r="HJ14">
        <f>103+90</f>
        <v>193</v>
      </c>
      <c r="IF14">
        <f>115+104</f>
        <v>219</v>
      </c>
      <c r="IH14">
        <f>26+46</f>
        <v>72</v>
      </c>
      <c r="IJ14">
        <f>45+80</f>
        <v>125</v>
      </c>
      <c r="IK14">
        <f>134+146</f>
        <v>280</v>
      </c>
      <c r="IS14">
        <f>72+78</f>
        <v>150</v>
      </c>
      <c r="IY14">
        <f>6+5</f>
        <v>11</v>
      </c>
      <c r="IZ14">
        <f>73+101</f>
        <v>174</v>
      </c>
      <c r="JV14">
        <f>78+82</f>
        <v>160</v>
      </c>
      <c r="JX14">
        <f>83+76</f>
        <v>159</v>
      </c>
      <c r="JY14">
        <f>31+21</f>
        <v>52</v>
      </c>
      <c r="KC14">
        <f>29+44</f>
        <v>73</v>
      </c>
      <c r="KH14">
        <f>129+144</f>
        <v>273</v>
      </c>
      <c r="KI14">
        <f>81+61</f>
        <v>142</v>
      </c>
      <c r="KJ14">
        <f>31+29</f>
        <v>60</v>
      </c>
      <c r="KL14">
        <f>196+156</f>
        <v>352</v>
      </c>
      <c r="KO14">
        <f>152+104</f>
        <v>256</v>
      </c>
      <c r="KW14">
        <f>68+113</f>
        <v>181</v>
      </c>
      <c r="KX14">
        <f>20+37</f>
        <v>57</v>
      </c>
      <c r="KY14">
        <f>13+28</f>
        <v>41</v>
      </c>
      <c r="LC14">
        <f>5+1</f>
        <v>6</v>
      </c>
      <c r="LM14">
        <f>80+71</f>
        <v>151</v>
      </c>
      <c r="LN14">
        <f>11+9</f>
        <v>20</v>
      </c>
      <c r="LR14">
        <f>83+79</f>
        <v>162</v>
      </c>
      <c r="LT14">
        <f>84+119</f>
        <v>203</v>
      </c>
      <c r="LU14">
        <f>61+71</f>
        <v>132</v>
      </c>
      <c r="LV14">
        <f>177+115</f>
        <v>292</v>
      </c>
      <c r="LX14">
        <f>73+65</f>
        <v>138</v>
      </c>
      <c r="LY14">
        <f>12+8</f>
        <v>20</v>
      </c>
      <c r="MG14">
        <f>117+105</f>
        <v>222</v>
      </c>
      <c r="MS14">
        <f>39+24</f>
        <v>63</v>
      </c>
      <c r="NG14">
        <f>40+34</f>
        <v>74</v>
      </c>
      <c r="NK14">
        <f>31+50</f>
        <v>81</v>
      </c>
      <c r="OW14">
        <f>58+66</f>
        <v>124</v>
      </c>
      <c r="PI14">
        <f>202+134</f>
        <v>336</v>
      </c>
      <c r="PK14">
        <f>134+146</f>
        <v>280</v>
      </c>
      <c r="PL14">
        <f>88+88</f>
        <v>176</v>
      </c>
      <c r="PM14">
        <f>43+61</f>
        <v>104</v>
      </c>
      <c r="PN14">
        <f>55+61</f>
        <v>116</v>
      </c>
      <c r="PO14">
        <f>40+69</f>
        <v>109</v>
      </c>
      <c r="PR14">
        <f>29+16</f>
        <v>45</v>
      </c>
      <c r="PT14">
        <f>6+2</f>
        <v>8</v>
      </c>
      <c r="PU14">
        <f>76+64</f>
        <v>140</v>
      </c>
      <c r="PW14">
        <f>27+42</f>
        <v>69</v>
      </c>
      <c r="PX14">
        <f>4+0</f>
        <v>4</v>
      </c>
      <c r="QC14">
        <f>6+0</f>
        <v>6</v>
      </c>
      <c r="QD14">
        <f>76+148</f>
        <v>224</v>
      </c>
      <c r="QJ14">
        <f>22+17</f>
        <v>39</v>
      </c>
      <c r="QL14">
        <f>45+25</f>
        <v>70</v>
      </c>
      <c r="QM14">
        <f>50+26</f>
        <v>76</v>
      </c>
      <c r="QS14">
        <f>31+18</f>
        <v>49</v>
      </c>
      <c r="QT14">
        <f>36+26</f>
        <v>62</v>
      </c>
      <c r="QW14">
        <f>7+2</f>
        <v>9</v>
      </c>
      <c r="QY14">
        <f>44+26</f>
        <v>70</v>
      </c>
      <c r="RA14">
        <f>81+74</f>
        <v>155</v>
      </c>
      <c r="RC14">
        <f>97+145</f>
        <v>242</v>
      </c>
      <c r="RD14">
        <f>23+36</f>
        <v>59</v>
      </c>
      <c r="RG14">
        <f>45+48</f>
        <v>93</v>
      </c>
      <c r="RH14">
        <f>84+87</f>
        <v>171</v>
      </c>
      <c r="RK14">
        <f>36+47</f>
        <v>83</v>
      </c>
      <c r="RL14">
        <f>19+17</f>
        <v>36</v>
      </c>
      <c r="RN14">
        <f>32+21</f>
        <v>53</v>
      </c>
      <c r="RZ14">
        <f>18+9</f>
        <v>27</v>
      </c>
      <c r="SA14">
        <f>603+246</f>
        <v>849</v>
      </c>
      <c r="SC14">
        <f>313+202</f>
        <v>515</v>
      </c>
      <c r="SD14">
        <f>45+26</f>
        <v>71</v>
      </c>
      <c r="SE14">
        <f>434+237</f>
        <v>671</v>
      </c>
      <c r="SF14">
        <f>17+5</f>
        <v>22</v>
      </c>
      <c r="SG14">
        <f>60+90</f>
        <v>150</v>
      </c>
      <c r="SI14">
        <f>352+323</f>
        <v>675</v>
      </c>
      <c r="SQ14">
        <f>54+39</f>
        <v>93</v>
      </c>
      <c r="SS14">
        <f>74+104</f>
        <v>178</v>
      </c>
      <c r="SX14">
        <f>7+3</f>
        <v>10</v>
      </c>
      <c r="SY14">
        <f>71+35</f>
        <v>106</v>
      </c>
      <c r="SZ14">
        <f>19+36</f>
        <v>55</v>
      </c>
      <c r="TB14">
        <f>12+6</f>
        <v>18</v>
      </c>
      <c r="TC14">
        <f>65+52</f>
        <v>117</v>
      </c>
      <c r="TI14">
        <f>33+43</f>
        <v>76</v>
      </c>
      <c r="TJ14">
        <f>34+31</f>
        <v>65</v>
      </c>
      <c r="TM14">
        <f>27+29</f>
        <v>56</v>
      </c>
      <c r="TO14">
        <f>34+46</f>
        <v>80</v>
      </c>
      <c r="US14">
        <f>66+86</f>
        <v>152</v>
      </c>
      <c r="UU14">
        <f>54+42</f>
        <v>96</v>
      </c>
      <c r="VH14">
        <f>62+38</f>
        <v>100</v>
      </c>
    </row>
    <row r="15" spans="1:581" x14ac:dyDescent="0.2">
      <c r="A15" t="s">
        <v>586</v>
      </c>
      <c r="B15" t="s">
        <v>587</v>
      </c>
      <c r="C15">
        <v>269</v>
      </c>
      <c r="D15">
        <f t="shared" si="18"/>
        <v>10191</v>
      </c>
      <c r="E15">
        <f t="shared" si="19"/>
        <v>81</v>
      </c>
      <c r="F15">
        <v>6.07</v>
      </c>
      <c r="G15">
        <v>18.809999999999999</v>
      </c>
      <c r="H15">
        <v>3</v>
      </c>
      <c r="I15" s="1" t="s">
        <v>588</v>
      </c>
      <c r="O15">
        <f>5+9</f>
        <v>14</v>
      </c>
      <c r="AO15">
        <f>5+3</f>
        <v>8</v>
      </c>
      <c r="AP15">
        <f>4+0</f>
        <v>4</v>
      </c>
      <c r="AV15">
        <f>6+4</f>
        <v>10</v>
      </c>
      <c r="EJ15">
        <f>91+100</f>
        <v>191</v>
      </c>
      <c r="FV15">
        <f>77+54</f>
        <v>131</v>
      </c>
      <c r="FZ15">
        <f>24+24</f>
        <v>48</v>
      </c>
      <c r="GD15">
        <f>23+15</f>
        <v>38</v>
      </c>
      <c r="GH15">
        <f>38+21</f>
        <v>59</v>
      </c>
      <c r="HI15">
        <f>98+120</f>
        <v>218</v>
      </c>
      <c r="HT15">
        <f>42+33</f>
        <v>75</v>
      </c>
      <c r="IG15">
        <f>36+19</f>
        <v>55</v>
      </c>
      <c r="IL15">
        <f>118+77</f>
        <v>195</v>
      </c>
      <c r="IP15">
        <f>39+48</f>
        <v>87</v>
      </c>
      <c r="IQ15">
        <f>60+60</f>
        <v>120</v>
      </c>
      <c r="IR15">
        <f>66+45</f>
        <v>111</v>
      </c>
      <c r="IW15">
        <f>10+3</f>
        <v>13</v>
      </c>
      <c r="IY15">
        <f>9+3</f>
        <v>12</v>
      </c>
      <c r="JA15">
        <f>98+77</f>
        <v>175</v>
      </c>
      <c r="JI15">
        <f>18+4</f>
        <v>22</v>
      </c>
      <c r="JJ15">
        <f>42+52</f>
        <v>94</v>
      </c>
      <c r="JO15">
        <f>62+96</f>
        <v>158</v>
      </c>
      <c r="JS15">
        <f>39+41</f>
        <v>80</v>
      </c>
      <c r="LD15">
        <f>29+28</f>
        <v>57</v>
      </c>
      <c r="LW15">
        <f>124+84</f>
        <v>208</v>
      </c>
      <c r="MA15">
        <f>17+5</f>
        <v>22</v>
      </c>
      <c r="MF15">
        <f>31+23</f>
        <v>54</v>
      </c>
      <c r="MK15">
        <f>81+73</f>
        <v>154</v>
      </c>
      <c r="MU15">
        <f>25+33</f>
        <v>58</v>
      </c>
      <c r="NG15">
        <f>66+23</f>
        <v>89</v>
      </c>
      <c r="NI15">
        <f>15+11</f>
        <v>26</v>
      </c>
      <c r="NR15">
        <f>13+24</f>
        <v>37</v>
      </c>
      <c r="NU15">
        <f>67+76</f>
        <v>143</v>
      </c>
      <c r="NV15">
        <f>149+174</f>
        <v>323</v>
      </c>
      <c r="NY15">
        <f>102+99</f>
        <v>201</v>
      </c>
      <c r="OA15">
        <f>222+124</f>
        <v>346</v>
      </c>
      <c r="OB15">
        <f>105+103</f>
        <v>208</v>
      </c>
      <c r="OC15">
        <f>36+24</f>
        <v>60</v>
      </c>
      <c r="OE15">
        <f>200+148</f>
        <v>348</v>
      </c>
      <c r="OJ15">
        <f>121+151</f>
        <v>272</v>
      </c>
      <c r="OK15">
        <f>294+276</f>
        <v>570</v>
      </c>
      <c r="ON15">
        <f>103+173</f>
        <v>276</v>
      </c>
      <c r="OR15">
        <f>73+97</f>
        <v>170</v>
      </c>
      <c r="OS15">
        <f>56+77</f>
        <v>133</v>
      </c>
      <c r="OY15">
        <f>79+138</f>
        <v>217</v>
      </c>
      <c r="PC15">
        <f>18+26</f>
        <v>44</v>
      </c>
      <c r="PD15">
        <f>42+73</f>
        <v>115</v>
      </c>
      <c r="PE15">
        <f>27+20</f>
        <v>47</v>
      </c>
      <c r="PG15">
        <f>38+56</f>
        <v>94</v>
      </c>
      <c r="PX15">
        <f>4+0</f>
        <v>4</v>
      </c>
      <c r="PZ15">
        <f>145+126</f>
        <v>271</v>
      </c>
      <c r="QB15">
        <f>26+35</f>
        <v>61</v>
      </c>
      <c r="QG15">
        <f>10+11</f>
        <v>21</v>
      </c>
      <c r="QH15">
        <f>39+34</f>
        <v>73</v>
      </c>
      <c r="QI15">
        <f>23+20</f>
        <v>43</v>
      </c>
      <c r="QJ15">
        <f>27+39</f>
        <v>66</v>
      </c>
      <c r="QK15">
        <f>7+4</f>
        <v>11</v>
      </c>
      <c r="QL15">
        <f>90+38</f>
        <v>128</v>
      </c>
      <c r="QN15">
        <f>23+26</f>
        <v>49</v>
      </c>
      <c r="RB15">
        <f>14+24</f>
        <v>38</v>
      </c>
      <c r="RS15">
        <f>67+91</f>
        <v>158</v>
      </c>
      <c r="RT15">
        <f>72+76</f>
        <v>148</v>
      </c>
      <c r="RU15">
        <f>69+64</f>
        <v>133</v>
      </c>
      <c r="TA15">
        <f>35+38</f>
        <v>73</v>
      </c>
      <c r="TB15">
        <f>17+7</f>
        <v>24</v>
      </c>
      <c r="TC15">
        <f>192+124</f>
        <v>316</v>
      </c>
      <c r="TD15">
        <f>209+170</f>
        <v>379</v>
      </c>
      <c r="TE15">
        <f>175+134</f>
        <v>309</v>
      </c>
      <c r="TF15">
        <f>156+140</f>
        <v>296</v>
      </c>
      <c r="TG15">
        <f>58+54</f>
        <v>112</v>
      </c>
      <c r="TH15">
        <f>88+107</f>
        <v>195</v>
      </c>
      <c r="TJ15">
        <f>25+34</f>
        <v>59</v>
      </c>
      <c r="TK15">
        <f>80+81</f>
        <v>161</v>
      </c>
      <c r="TN15">
        <f>50+42</f>
        <v>92</v>
      </c>
      <c r="TP15">
        <f>59+52</f>
        <v>111</v>
      </c>
      <c r="TQ15">
        <f>76+68</f>
        <v>144</v>
      </c>
      <c r="UA15">
        <f>65+85</f>
        <v>150</v>
      </c>
      <c r="UR15">
        <f>71+63</f>
        <v>134</v>
      </c>
      <c r="VA15">
        <f>12+9</f>
        <v>21</v>
      </c>
      <c r="VF15">
        <f>83+62</f>
        <v>145</v>
      </c>
      <c r="VG15">
        <f>41+35</f>
        <v>76</v>
      </c>
    </row>
    <row r="16" spans="1:581" x14ac:dyDescent="0.2">
      <c r="A16" t="s">
        <v>589</v>
      </c>
      <c r="B16" t="s">
        <v>590</v>
      </c>
      <c r="C16">
        <v>269</v>
      </c>
      <c r="D16">
        <f t="shared" si="18"/>
        <v>8550</v>
      </c>
      <c r="E16">
        <f t="shared" si="19"/>
        <v>49</v>
      </c>
      <c r="F16">
        <v>5.63</v>
      </c>
      <c r="G16">
        <v>13.17</v>
      </c>
      <c r="H16">
        <v>3.14</v>
      </c>
      <c r="I16" s="1" t="s">
        <v>591</v>
      </c>
      <c r="AA16">
        <f>12+11</f>
        <v>23</v>
      </c>
      <c r="AL16">
        <f>5+9</f>
        <v>14</v>
      </c>
      <c r="BH16">
        <f>5+7</f>
        <v>12</v>
      </c>
      <c r="BU16">
        <f>5+1</f>
        <v>6</v>
      </c>
      <c r="DD16">
        <f>9+8</f>
        <v>17</v>
      </c>
      <c r="DH16">
        <f>101+75</f>
        <v>176</v>
      </c>
      <c r="EB16">
        <f>161+153</f>
        <v>314</v>
      </c>
      <c r="FJ16">
        <f>74+83</f>
        <v>157</v>
      </c>
      <c r="FM16">
        <f>85+89</f>
        <v>174</v>
      </c>
      <c r="FZ16">
        <f>24+34</f>
        <v>58</v>
      </c>
      <c r="GR16">
        <f>51+58</f>
        <v>109</v>
      </c>
      <c r="GS16">
        <f>20+20</f>
        <v>40</v>
      </c>
      <c r="GV16">
        <f>84+94</f>
        <v>178</v>
      </c>
      <c r="HC16">
        <f>106+126</f>
        <v>232</v>
      </c>
      <c r="HF16">
        <f>232+214</f>
        <v>446</v>
      </c>
      <c r="HI16">
        <f>108+177</f>
        <v>285</v>
      </c>
      <c r="HK16">
        <f>133+127</f>
        <v>260</v>
      </c>
      <c r="HR16">
        <f>236+200</f>
        <v>436</v>
      </c>
      <c r="IG16">
        <f>64+52</f>
        <v>116</v>
      </c>
      <c r="IH16">
        <f>32+30</f>
        <v>62</v>
      </c>
      <c r="IL16">
        <f>72+84</f>
        <v>156</v>
      </c>
      <c r="IM16">
        <f>37+38</f>
        <v>75</v>
      </c>
      <c r="JN16">
        <f>5+3</f>
        <v>8</v>
      </c>
      <c r="KH16">
        <f>220+121</f>
        <v>341</v>
      </c>
      <c r="KP16">
        <f>127+88</f>
        <v>215</v>
      </c>
      <c r="LB16">
        <f>35+34</f>
        <v>69</v>
      </c>
      <c r="LF16">
        <f>74+79</f>
        <v>153</v>
      </c>
      <c r="LG16">
        <f>121+83</f>
        <v>204</v>
      </c>
      <c r="LH16">
        <f>78+86</f>
        <v>164</v>
      </c>
      <c r="LJ16">
        <f>99+132</f>
        <v>231</v>
      </c>
      <c r="LO16">
        <f>158+150</f>
        <v>308</v>
      </c>
      <c r="MQ16">
        <f>12+2</f>
        <v>14</v>
      </c>
      <c r="NM16">
        <f>40+69</f>
        <v>109</v>
      </c>
      <c r="OA16">
        <f>368+178</f>
        <v>546</v>
      </c>
      <c r="OL16">
        <f>41+42</f>
        <v>83</v>
      </c>
      <c r="OT16">
        <f>119+140</f>
        <v>259</v>
      </c>
      <c r="PU16">
        <f>59+108</f>
        <v>167</v>
      </c>
      <c r="PW16">
        <f>74+102</f>
        <v>176</v>
      </c>
      <c r="PZ16">
        <f>239+214</f>
        <v>453</v>
      </c>
      <c r="RF16">
        <f>73+89</f>
        <v>162</v>
      </c>
      <c r="RT16">
        <f>65+89</f>
        <v>154</v>
      </c>
      <c r="RV16">
        <f>111+133</f>
        <v>244</v>
      </c>
      <c r="RX16">
        <f>82+95</f>
        <v>177</v>
      </c>
      <c r="SK16">
        <f>66+116</f>
        <v>182</v>
      </c>
      <c r="SP16">
        <f>79+108</f>
        <v>187</v>
      </c>
      <c r="TR16">
        <f>87+75</f>
        <v>162</v>
      </c>
      <c r="UM16">
        <f>92+74</f>
        <v>166</v>
      </c>
      <c r="UW16">
        <f>109+146</f>
        <v>255</v>
      </c>
      <c r="UZ16">
        <f>12+3</f>
        <v>15</v>
      </c>
    </row>
    <row r="17" spans="1:580" x14ac:dyDescent="0.2">
      <c r="A17" t="s">
        <v>592</v>
      </c>
      <c r="B17" t="s">
        <v>593</v>
      </c>
      <c r="C17">
        <v>269</v>
      </c>
      <c r="D17">
        <f t="shared" si="18"/>
        <v>7188</v>
      </c>
      <c r="E17">
        <f t="shared" si="19"/>
        <v>51</v>
      </c>
      <c r="F17">
        <v>5.47</v>
      </c>
      <c r="G17">
        <v>19.670000000000002</v>
      </c>
      <c r="H17">
        <v>3.02</v>
      </c>
      <c r="I17" s="1" t="s">
        <v>594</v>
      </c>
      <c r="BD17">
        <f>5+2</f>
        <v>7</v>
      </c>
      <c r="EO17">
        <f>154+141</f>
        <v>295</v>
      </c>
      <c r="EP17">
        <f>94+141</f>
        <v>235</v>
      </c>
      <c r="EQ17">
        <f>157+143</f>
        <v>300</v>
      </c>
      <c r="ES17">
        <f>84+75</f>
        <v>159</v>
      </c>
      <c r="ET17">
        <f>121+130</f>
        <v>251</v>
      </c>
      <c r="FC17">
        <f>110+71</f>
        <v>181</v>
      </c>
      <c r="FS17">
        <f>8+3</f>
        <v>11</v>
      </c>
      <c r="FT17">
        <f>77+82</f>
        <v>159</v>
      </c>
      <c r="FU17">
        <f>116+99</f>
        <v>215</v>
      </c>
      <c r="FW17">
        <f>17+8</f>
        <v>25</v>
      </c>
      <c r="GF17">
        <f>56+34</f>
        <v>90</v>
      </c>
      <c r="GI17">
        <f>118+91</f>
        <v>209</v>
      </c>
      <c r="GN17">
        <f>14+27</f>
        <v>41</v>
      </c>
      <c r="HH17">
        <f>111+128</f>
        <v>239</v>
      </c>
      <c r="HJ17">
        <f>187+129</f>
        <v>316</v>
      </c>
      <c r="HP17">
        <f>20+20</f>
        <v>40</v>
      </c>
      <c r="IF17">
        <f>168+141</f>
        <v>309</v>
      </c>
      <c r="IH17">
        <f>66+60</f>
        <v>126</v>
      </c>
      <c r="IK17">
        <f>193+179</f>
        <v>372</v>
      </c>
      <c r="IM17">
        <f>50+54</f>
        <v>104</v>
      </c>
      <c r="IQ17">
        <f>70+66</f>
        <v>136</v>
      </c>
      <c r="IS17">
        <f>30+21</f>
        <v>51</v>
      </c>
      <c r="JW17">
        <f>25+14</f>
        <v>39</v>
      </c>
      <c r="JY17">
        <f>25+18</f>
        <v>43</v>
      </c>
      <c r="KC17">
        <f>27+47</f>
        <v>74</v>
      </c>
      <c r="KI17">
        <f>68+39</f>
        <v>107</v>
      </c>
      <c r="KO17">
        <f>45+26</f>
        <v>71</v>
      </c>
      <c r="LF17">
        <f>93+97</f>
        <v>190</v>
      </c>
      <c r="LM17">
        <f>56+97</f>
        <v>153</v>
      </c>
      <c r="LU17">
        <f>71+78</f>
        <v>149</v>
      </c>
      <c r="LX17">
        <f>49+42</f>
        <v>91</v>
      </c>
      <c r="MG17">
        <f>110+103</f>
        <v>213</v>
      </c>
      <c r="MS17">
        <f>18+12</f>
        <v>30</v>
      </c>
      <c r="NG17">
        <f>39+31</f>
        <v>70</v>
      </c>
      <c r="NZ17">
        <f>147+190</f>
        <v>337</v>
      </c>
      <c r="OW17">
        <f>52+84</f>
        <v>136</v>
      </c>
      <c r="PR17">
        <f>21+15</f>
        <v>36</v>
      </c>
      <c r="PU17">
        <f>105+125</f>
        <v>230</v>
      </c>
      <c r="PV17">
        <f>62+63</f>
        <v>125</v>
      </c>
      <c r="QD17">
        <f>75+92</f>
        <v>167</v>
      </c>
      <c r="QM17">
        <f>76+51</f>
        <v>127</v>
      </c>
      <c r="QT17">
        <f>53+46</f>
        <v>99</v>
      </c>
      <c r="RC17">
        <f>76+49</f>
        <v>125</v>
      </c>
      <c r="RI17">
        <f>58+51</f>
        <v>109</v>
      </c>
      <c r="SC17">
        <f>84+74</f>
        <v>158</v>
      </c>
      <c r="SE17">
        <f>102+69</f>
        <v>171</v>
      </c>
      <c r="TA17">
        <f>19+16</f>
        <v>35</v>
      </c>
      <c r="TI17">
        <f>53+46</f>
        <v>99</v>
      </c>
      <c r="TJ17">
        <f>31+31</f>
        <v>62</v>
      </c>
      <c r="VH17">
        <f>46+25</f>
        <v>71</v>
      </c>
    </row>
    <row r="18" spans="1:580" x14ac:dyDescent="0.2">
      <c r="A18" t="s">
        <v>595</v>
      </c>
      <c r="B18" t="s">
        <v>596</v>
      </c>
      <c r="C18">
        <v>60</v>
      </c>
      <c r="D18">
        <f t="shared" si="18"/>
        <v>4760</v>
      </c>
      <c r="E18">
        <f t="shared" si="19"/>
        <v>22</v>
      </c>
      <c r="F18">
        <v>4.46</v>
      </c>
      <c r="G18">
        <v>8.84</v>
      </c>
      <c r="H18">
        <v>3.11</v>
      </c>
      <c r="I18" s="1" t="s">
        <v>597</v>
      </c>
      <c r="CW18">
        <f>5+0</f>
        <v>5</v>
      </c>
      <c r="DQ18">
        <f>205+17</f>
        <v>222</v>
      </c>
      <c r="DY18">
        <f>223+27</f>
        <v>250</v>
      </c>
      <c r="EA18">
        <f>187+22</f>
        <v>209</v>
      </c>
      <c r="EC18">
        <f>347+34</f>
        <v>381</v>
      </c>
      <c r="EE18">
        <f>163+12</f>
        <v>175</v>
      </c>
      <c r="EU18">
        <f>212+17</f>
        <v>229</v>
      </c>
      <c r="EV18">
        <f>193+23</f>
        <v>216</v>
      </c>
      <c r="FA18">
        <f>202+22</f>
        <v>224</v>
      </c>
      <c r="FE18">
        <f>159+19</f>
        <v>178</v>
      </c>
      <c r="FH18">
        <f>141+16</f>
        <v>157</v>
      </c>
      <c r="FJ18">
        <f>249+27</f>
        <v>276</v>
      </c>
      <c r="FM18">
        <f>147+16</f>
        <v>163</v>
      </c>
      <c r="FN18">
        <f>406+36</f>
        <v>442</v>
      </c>
      <c r="JB18">
        <f>162+19</f>
        <v>181</v>
      </c>
      <c r="JC18">
        <f>202+15</f>
        <v>217</v>
      </c>
      <c r="JD18">
        <f>155+14</f>
        <v>169</v>
      </c>
      <c r="TS18">
        <f>167+13</f>
        <v>180</v>
      </c>
      <c r="TT18">
        <f>276+29</f>
        <v>305</v>
      </c>
      <c r="TU18">
        <f>185+20</f>
        <v>205</v>
      </c>
      <c r="UE18">
        <f>172+18</f>
        <v>190</v>
      </c>
      <c r="UI18">
        <f>170+16</f>
        <v>186</v>
      </c>
    </row>
    <row r="19" spans="1:580" x14ac:dyDescent="0.2">
      <c r="A19" t="s">
        <v>604</v>
      </c>
      <c r="B19" t="s">
        <v>605</v>
      </c>
      <c r="C19">
        <v>269</v>
      </c>
      <c r="D19">
        <f t="shared" ref="D19" si="20">SUM(J19:VI19)</f>
        <v>2511</v>
      </c>
      <c r="E19">
        <f t="shared" ref="E19" si="21">COUNT(J19:VI19)</f>
        <v>27</v>
      </c>
      <c r="F19">
        <v>5.21</v>
      </c>
      <c r="G19">
        <v>9.5</v>
      </c>
      <c r="H19">
        <v>3.09</v>
      </c>
      <c r="I19" s="1" t="s">
        <v>606</v>
      </c>
      <c r="V19">
        <f>6+2</f>
        <v>8</v>
      </c>
      <c r="IP19">
        <f>49+58</f>
        <v>107</v>
      </c>
      <c r="IU19">
        <f>60+26</f>
        <v>86</v>
      </c>
      <c r="IW19">
        <f>7+2</f>
        <v>9</v>
      </c>
      <c r="IY19">
        <f>7+3</f>
        <v>10</v>
      </c>
      <c r="JM19">
        <f>5+1</f>
        <v>6</v>
      </c>
      <c r="JS19">
        <f>38+28</f>
        <v>66</v>
      </c>
      <c r="JT19">
        <f>58+33</f>
        <v>91</v>
      </c>
      <c r="JU19">
        <f>69+58</f>
        <v>127</v>
      </c>
      <c r="JY19">
        <f>45+50</f>
        <v>95</v>
      </c>
      <c r="JZ19">
        <f>12+7</f>
        <v>19</v>
      </c>
      <c r="LC19">
        <f>5+0</f>
        <v>5</v>
      </c>
      <c r="NG19">
        <f>67+47</f>
        <v>114</v>
      </c>
      <c r="NI19">
        <f>17+4</f>
        <v>21</v>
      </c>
      <c r="OA19">
        <f>210+116</f>
        <v>326</v>
      </c>
      <c r="OC19">
        <f>24+6</f>
        <v>30</v>
      </c>
      <c r="OX19">
        <f>56+47</f>
        <v>103</v>
      </c>
      <c r="OZ19">
        <f>57+70</f>
        <v>127</v>
      </c>
      <c r="PA19">
        <f>18+13</f>
        <v>31</v>
      </c>
      <c r="PC19">
        <f>31+47</f>
        <v>78</v>
      </c>
      <c r="PG19">
        <f>26+36</f>
        <v>62</v>
      </c>
      <c r="PS19">
        <f>219+256</f>
        <v>475</v>
      </c>
      <c r="QF19">
        <f>68+64</f>
        <v>132</v>
      </c>
      <c r="QU19">
        <f>9+5</f>
        <v>14</v>
      </c>
      <c r="QW19">
        <f>7+6</f>
        <v>13</v>
      </c>
      <c r="RE19">
        <f>138+142</f>
        <v>280</v>
      </c>
      <c r="VG19">
        <f>31+45</f>
        <v>76</v>
      </c>
    </row>
    <row r="20" spans="1:580" x14ac:dyDescent="0.2">
      <c r="A20" t="s">
        <v>601</v>
      </c>
      <c r="B20" t="s">
        <v>602</v>
      </c>
      <c r="C20">
        <v>269</v>
      </c>
      <c r="D20">
        <f t="shared" si="18"/>
        <v>2552</v>
      </c>
      <c r="E20">
        <f t="shared" si="19"/>
        <v>19</v>
      </c>
      <c r="F20">
        <v>4.9000000000000004</v>
      </c>
      <c r="G20">
        <v>7.14</v>
      </c>
      <c r="H20">
        <v>3.15</v>
      </c>
      <c r="I20" s="1" t="s">
        <v>603</v>
      </c>
      <c r="FW20">
        <f>12+7</f>
        <v>19</v>
      </c>
      <c r="GG20">
        <f>23+14</f>
        <v>37</v>
      </c>
      <c r="GJ20">
        <f>22+20</f>
        <v>42</v>
      </c>
      <c r="IG20">
        <f>20+32</f>
        <v>52</v>
      </c>
      <c r="IO20">
        <f>54+66</f>
        <v>120</v>
      </c>
      <c r="IP20">
        <f>42+55</f>
        <v>97</v>
      </c>
      <c r="ME20">
        <f>116+125</f>
        <v>241</v>
      </c>
      <c r="MJ20">
        <f>78+119</f>
        <v>197</v>
      </c>
      <c r="MO20">
        <f>25+31</f>
        <v>56</v>
      </c>
      <c r="MU20">
        <f>68+38</f>
        <v>106</v>
      </c>
      <c r="OD20">
        <f>159+150</f>
        <v>309</v>
      </c>
      <c r="OF20">
        <f>171+147</f>
        <v>318</v>
      </c>
      <c r="OO20">
        <f>126+163</f>
        <v>289</v>
      </c>
      <c r="OZ20">
        <f>49+56</f>
        <v>105</v>
      </c>
      <c r="PH20">
        <f>125+122</f>
        <v>247</v>
      </c>
      <c r="QC20">
        <f>4+0</f>
        <v>4</v>
      </c>
      <c r="QD20">
        <f>37+86</f>
        <v>123</v>
      </c>
      <c r="SN20">
        <f>18+18</f>
        <v>36</v>
      </c>
      <c r="SO20">
        <f>101+53</f>
        <v>154</v>
      </c>
    </row>
    <row r="21" spans="1:580" x14ac:dyDescent="0.2">
      <c r="A21" t="s">
        <v>598</v>
      </c>
      <c r="B21" t="s">
        <v>599</v>
      </c>
      <c r="C21">
        <v>269</v>
      </c>
      <c r="D21">
        <f t="shared" ref="D21" si="22">SUM(J21:VI21)</f>
        <v>4359</v>
      </c>
      <c r="E21">
        <f t="shared" ref="E21" si="23">COUNT(J21:VI21)</f>
        <v>17</v>
      </c>
      <c r="F21">
        <v>11.05</v>
      </c>
      <c r="G21">
        <v>29.48</v>
      </c>
      <c r="H21">
        <v>4.2</v>
      </c>
      <c r="I21" s="1" t="s">
        <v>600</v>
      </c>
      <c r="DL21">
        <f>270+219</f>
        <v>489</v>
      </c>
      <c r="EH21">
        <f>241+270</f>
        <v>511</v>
      </c>
      <c r="IV21">
        <f>82+59</f>
        <v>141</v>
      </c>
      <c r="IY21">
        <f>8+1</f>
        <v>9</v>
      </c>
      <c r="IZ21">
        <f>75+142</f>
        <v>217</v>
      </c>
      <c r="KX21">
        <f>42+14</f>
        <v>56</v>
      </c>
      <c r="KY21">
        <f>21+36</f>
        <v>57</v>
      </c>
      <c r="NU21">
        <f>306+194</f>
        <v>500</v>
      </c>
      <c r="RZ21">
        <f>39+7</f>
        <v>46</v>
      </c>
      <c r="SA21">
        <f>546+505</f>
        <v>1051</v>
      </c>
      <c r="SB21">
        <f>13+1</f>
        <v>14</v>
      </c>
      <c r="SC21">
        <f>203+187</f>
        <v>390</v>
      </c>
      <c r="SD21">
        <f>36+14</f>
        <v>50</v>
      </c>
      <c r="SE21">
        <f>259+259</f>
        <v>518</v>
      </c>
      <c r="SF21">
        <f>19+8</f>
        <v>27</v>
      </c>
      <c r="SG21">
        <f>34+39</f>
        <v>73</v>
      </c>
      <c r="SP21">
        <f>112+98</f>
        <v>210</v>
      </c>
    </row>
    <row r="22" spans="1:580" x14ac:dyDescent="0.2">
      <c r="A22" t="s">
        <v>607</v>
      </c>
      <c r="B22" t="s">
        <v>608</v>
      </c>
      <c r="C22">
        <v>269</v>
      </c>
      <c r="D22">
        <f t="shared" si="18"/>
        <v>2104</v>
      </c>
      <c r="E22">
        <f t="shared" si="19"/>
        <v>24</v>
      </c>
      <c r="F22">
        <v>4.04</v>
      </c>
      <c r="G22">
        <v>6.15</v>
      </c>
      <c r="H22">
        <v>3.07</v>
      </c>
      <c r="I22" s="1" t="s">
        <v>609</v>
      </c>
      <c r="U22">
        <f>5+2</f>
        <v>7</v>
      </c>
      <c r="FV22">
        <f>57+54</f>
        <v>111</v>
      </c>
      <c r="KM22">
        <f>38+19</f>
        <v>57</v>
      </c>
      <c r="LP22">
        <f>76+97</f>
        <v>173</v>
      </c>
      <c r="LQ22">
        <f>79+62</f>
        <v>141</v>
      </c>
      <c r="LS22">
        <f>27+36</f>
        <v>63</v>
      </c>
      <c r="MA22">
        <f>9+3</f>
        <v>12</v>
      </c>
      <c r="MF22">
        <f>37+17</f>
        <v>54</v>
      </c>
      <c r="MM22">
        <f>70+56</f>
        <v>126</v>
      </c>
      <c r="MN22">
        <f>44+52</f>
        <v>96</v>
      </c>
      <c r="MV22">
        <f>17+16</f>
        <v>33</v>
      </c>
      <c r="OY22">
        <f>35+39</f>
        <v>74</v>
      </c>
      <c r="QB22">
        <f>19+28</f>
        <v>47</v>
      </c>
      <c r="RU22">
        <f>50+64</f>
        <v>114</v>
      </c>
      <c r="TE22">
        <f>132+133</f>
        <v>265</v>
      </c>
      <c r="TF22">
        <f>45+50</f>
        <v>95</v>
      </c>
      <c r="TG22">
        <f>46+37</f>
        <v>83</v>
      </c>
      <c r="TH22">
        <f>95+87</f>
        <v>182</v>
      </c>
      <c r="TI22">
        <f>50+40</f>
        <v>90</v>
      </c>
      <c r="TK22">
        <f>91+64</f>
        <v>155</v>
      </c>
      <c r="TN22">
        <f>25+24</f>
        <v>49</v>
      </c>
      <c r="TP22">
        <f>14+12</f>
        <v>26</v>
      </c>
      <c r="TQ22">
        <f>23+19</f>
        <v>42</v>
      </c>
      <c r="VA22">
        <f>6+3</f>
        <v>9</v>
      </c>
    </row>
    <row r="23" spans="1:580" x14ac:dyDescent="0.2">
      <c r="A23" t="s">
        <v>613</v>
      </c>
      <c r="B23" t="s">
        <v>614</v>
      </c>
      <c r="C23">
        <v>269</v>
      </c>
      <c r="D23">
        <f t="shared" ref="D23" si="24">SUM(J23:VI23)</f>
        <v>1435</v>
      </c>
      <c r="E23">
        <f t="shared" ref="E23" si="25">COUNT(J23:VI23)</f>
        <v>5</v>
      </c>
      <c r="F23">
        <v>7.77</v>
      </c>
      <c r="G23">
        <v>12.28</v>
      </c>
      <c r="H23">
        <v>5.64</v>
      </c>
      <c r="I23" s="1" t="s">
        <v>615</v>
      </c>
      <c r="OD23">
        <f>173+186</f>
        <v>359</v>
      </c>
      <c r="OF23">
        <f>137+139</f>
        <v>276</v>
      </c>
      <c r="OK23">
        <f>332+282</f>
        <v>614</v>
      </c>
      <c r="OZ23">
        <f>54+85</f>
        <v>139</v>
      </c>
      <c r="PA23">
        <f>27+20</f>
        <v>47</v>
      </c>
    </row>
    <row r="24" spans="1:580" x14ac:dyDescent="0.2">
      <c r="A24" t="s">
        <v>610</v>
      </c>
      <c r="B24" t="s">
        <v>611</v>
      </c>
      <c r="C24">
        <v>269</v>
      </c>
      <c r="D24">
        <f t="shared" ref="D24" si="26">SUM(J24:VI24)</f>
        <v>1482</v>
      </c>
      <c r="E24">
        <f t="shared" ref="E24" si="27">COUNT(J24:VI24)</f>
        <v>11</v>
      </c>
      <c r="F24">
        <v>5.69</v>
      </c>
      <c r="G24">
        <v>10.82</v>
      </c>
      <c r="H24">
        <v>3.12</v>
      </c>
      <c r="I24" s="1" t="s">
        <v>612</v>
      </c>
      <c r="NQ24" s="2">
        <f>70+48</f>
        <v>118</v>
      </c>
      <c r="NU24">
        <f>130+99</f>
        <v>229</v>
      </c>
      <c r="NW24">
        <f>59+34</f>
        <v>93</v>
      </c>
      <c r="OV24">
        <f>183+217</f>
        <v>400</v>
      </c>
      <c r="PD24">
        <f>64+58</f>
        <v>122</v>
      </c>
      <c r="PE24">
        <f>20+22</f>
        <v>42</v>
      </c>
      <c r="PF24">
        <f>27+26</f>
        <v>53</v>
      </c>
      <c r="QC24">
        <f>5+2</f>
        <v>7</v>
      </c>
      <c r="QD24">
        <f>33+103</f>
        <v>136</v>
      </c>
      <c r="SN24">
        <f>27+22</f>
        <v>49</v>
      </c>
      <c r="SO24">
        <f>119+114</f>
        <v>233</v>
      </c>
    </row>
    <row r="25" spans="1:580" x14ac:dyDescent="0.2">
      <c r="A25" t="s">
        <v>616</v>
      </c>
      <c r="B25" t="s">
        <v>617</v>
      </c>
      <c r="C25">
        <v>106</v>
      </c>
      <c r="D25">
        <f t="shared" si="18"/>
        <v>1144</v>
      </c>
      <c r="E25">
        <f t="shared" si="19"/>
        <v>18</v>
      </c>
      <c r="F25">
        <v>4.8099999999999996</v>
      </c>
      <c r="G25">
        <v>8.2100000000000009</v>
      </c>
      <c r="H25">
        <v>3.02</v>
      </c>
      <c r="I25" s="1" t="s">
        <v>618</v>
      </c>
      <c r="O25">
        <f>12+5</f>
        <v>17</v>
      </c>
      <c r="P25">
        <f>4+0</f>
        <v>4</v>
      </c>
      <c r="Q25">
        <f>10+2</f>
        <v>12</v>
      </c>
      <c r="R25">
        <f>5+0</f>
        <v>5</v>
      </c>
      <c r="S25">
        <f>7+1</f>
        <v>8</v>
      </c>
      <c r="T25">
        <f>9+2</f>
        <v>11</v>
      </c>
      <c r="V25">
        <f>6+2</f>
        <v>8</v>
      </c>
      <c r="W25">
        <f>8+0</f>
        <v>8</v>
      </c>
      <c r="Y25">
        <f>5+0</f>
        <v>5</v>
      </c>
      <c r="AB25">
        <f>7+0</f>
        <v>7</v>
      </c>
      <c r="AK25">
        <f>7+3</f>
        <v>10</v>
      </c>
      <c r="AL25">
        <f>11+4</f>
        <v>15</v>
      </c>
      <c r="AQ25">
        <f>5+0</f>
        <v>5</v>
      </c>
      <c r="EF25">
        <f>121+34</f>
        <v>155</v>
      </c>
      <c r="EL25">
        <f>207+52</f>
        <v>259</v>
      </c>
      <c r="JB25">
        <f>160+40</f>
        <v>200</v>
      </c>
      <c r="JC25">
        <f>125+26</f>
        <v>151</v>
      </c>
      <c r="JD25">
        <f>220+44</f>
        <v>264</v>
      </c>
    </row>
    <row r="26" spans="1:580" x14ac:dyDescent="0.2">
      <c r="A26" t="s">
        <v>619</v>
      </c>
      <c r="B26" t="s">
        <v>620</v>
      </c>
      <c r="C26">
        <v>269</v>
      </c>
      <c r="D26">
        <f t="shared" si="18"/>
        <v>1015</v>
      </c>
      <c r="E26">
        <f t="shared" si="19"/>
        <v>5</v>
      </c>
      <c r="F26">
        <v>6.88</v>
      </c>
      <c r="G26">
        <v>10.220000000000001</v>
      </c>
      <c r="H26">
        <v>4.18</v>
      </c>
      <c r="I26" s="1" t="s">
        <v>621</v>
      </c>
      <c r="JR26">
        <f>214+142</f>
        <v>356</v>
      </c>
      <c r="JS26">
        <f>43+32</f>
        <v>75</v>
      </c>
      <c r="JZ26">
        <f>10+3</f>
        <v>13</v>
      </c>
      <c r="KD26">
        <f>92+94</f>
        <v>186</v>
      </c>
      <c r="LO26">
        <f>201+184</f>
        <v>385</v>
      </c>
    </row>
    <row r="27" spans="1:580" x14ac:dyDescent="0.2">
      <c r="A27" t="s">
        <v>622</v>
      </c>
      <c r="B27" t="s">
        <v>623</v>
      </c>
      <c r="C27">
        <v>269</v>
      </c>
      <c r="D27">
        <f t="shared" si="18"/>
        <v>870</v>
      </c>
      <c r="E27">
        <f t="shared" si="19"/>
        <v>7</v>
      </c>
      <c r="F27">
        <v>5.89</v>
      </c>
      <c r="G27">
        <v>9.16</v>
      </c>
      <c r="H27">
        <v>3.78</v>
      </c>
      <c r="I27" s="1" t="s">
        <v>624</v>
      </c>
      <c r="LY27">
        <f>33+14</f>
        <v>47</v>
      </c>
      <c r="MH27">
        <f>130+128</f>
        <v>258</v>
      </c>
      <c r="MI27">
        <f>101+86</f>
        <v>187</v>
      </c>
      <c r="MJ27">
        <f>73+62</f>
        <v>135</v>
      </c>
      <c r="MP27">
        <f>106+69</f>
        <v>175</v>
      </c>
      <c r="MT27">
        <f>5+2</f>
        <v>7</v>
      </c>
      <c r="MV27">
        <f>36+25</f>
        <v>61</v>
      </c>
    </row>
    <row r="28" spans="1:580" x14ac:dyDescent="0.2">
      <c r="A28" t="s">
        <v>628</v>
      </c>
      <c r="B28" t="s">
        <v>629</v>
      </c>
      <c r="C28">
        <v>269</v>
      </c>
      <c r="D28">
        <f t="shared" ref="D28" si="28">SUM(J28:VI28)</f>
        <v>763</v>
      </c>
      <c r="E28">
        <f t="shared" ref="E28" si="29">COUNT(J28:VI28)</f>
        <v>7</v>
      </c>
      <c r="F28">
        <v>3.52</v>
      </c>
      <c r="G28">
        <v>5.07</v>
      </c>
      <c r="H28">
        <v>3.02</v>
      </c>
      <c r="I28" s="1" t="s">
        <v>630</v>
      </c>
      <c r="HE28">
        <f>78+85</f>
        <v>163</v>
      </c>
      <c r="JV28">
        <f>57+48</f>
        <v>105</v>
      </c>
      <c r="KL28">
        <f>76+75</f>
        <v>151</v>
      </c>
      <c r="KY28">
        <f>9+16</f>
        <v>25</v>
      </c>
      <c r="LT28">
        <f>61+99</f>
        <v>160</v>
      </c>
      <c r="PM28">
        <f>45+63</f>
        <v>108</v>
      </c>
      <c r="SG28">
        <f>23+28</f>
        <v>51</v>
      </c>
    </row>
    <row r="29" spans="1:580" x14ac:dyDescent="0.2">
      <c r="A29" t="s">
        <v>634</v>
      </c>
      <c r="B29" t="s">
        <v>635</v>
      </c>
      <c r="C29">
        <v>267</v>
      </c>
      <c r="D29">
        <f t="shared" ref="D29" si="30">SUM(J29:VI29)</f>
        <v>622</v>
      </c>
      <c r="E29">
        <f t="shared" ref="E29" si="31">COUNT(J29:VI29)</f>
        <v>2</v>
      </c>
      <c r="F29">
        <v>12.47</v>
      </c>
      <c r="G29">
        <v>12.94</v>
      </c>
      <c r="H29">
        <v>12</v>
      </c>
      <c r="I29" s="1" t="s">
        <v>636</v>
      </c>
      <c r="CX29">
        <f>11+11</f>
        <v>22</v>
      </c>
      <c r="RW29">
        <f>363+237</f>
        <v>600</v>
      </c>
    </row>
    <row r="30" spans="1:580" x14ac:dyDescent="0.2">
      <c r="A30" t="s">
        <v>631</v>
      </c>
      <c r="B30" t="s">
        <v>632</v>
      </c>
      <c r="C30">
        <v>104</v>
      </c>
      <c r="D30">
        <f t="shared" si="18"/>
        <v>663</v>
      </c>
      <c r="E30">
        <f t="shared" si="19"/>
        <v>13</v>
      </c>
      <c r="F30">
        <v>4.3499999999999996</v>
      </c>
      <c r="G30">
        <v>5.83</v>
      </c>
      <c r="H30">
        <v>3.05</v>
      </c>
      <c r="I30" s="1" t="s">
        <v>633</v>
      </c>
      <c r="O30">
        <f>11+0</f>
        <v>11</v>
      </c>
      <c r="R30">
        <f>7+0</f>
        <v>7</v>
      </c>
      <c r="S30">
        <f>6+2</f>
        <v>8</v>
      </c>
      <c r="W30">
        <f>6+0</f>
        <v>6</v>
      </c>
      <c r="Z30">
        <f>6+1</f>
        <v>7</v>
      </c>
      <c r="AG30">
        <f>7+1</f>
        <v>8</v>
      </c>
      <c r="AK30">
        <f>10+1</f>
        <v>11</v>
      </c>
      <c r="AQ30">
        <f>7+0</f>
        <v>7</v>
      </c>
      <c r="CU30">
        <f>5+0</f>
        <v>5</v>
      </c>
      <c r="EF30">
        <f>147+40</f>
        <v>187</v>
      </c>
      <c r="FF30">
        <f>5+0</f>
        <v>5</v>
      </c>
      <c r="JB30">
        <f>144+33</f>
        <v>177</v>
      </c>
      <c r="JD30">
        <f>185+39</f>
        <v>224</v>
      </c>
    </row>
    <row r="31" spans="1:580" x14ac:dyDescent="0.2">
      <c r="A31" t="s">
        <v>637</v>
      </c>
      <c r="B31" t="s">
        <v>638</v>
      </c>
      <c r="C31">
        <v>269</v>
      </c>
      <c r="D31">
        <f t="shared" ref="D31" si="32">SUM(J31:VI31)</f>
        <v>559</v>
      </c>
      <c r="E31">
        <f t="shared" ref="E31" si="33">COUNT(J31:VI31)</f>
        <v>3</v>
      </c>
      <c r="F31">
        <v>3.86</v>
      </c>
      <c r="G31">
        <v>4.3600000000000003</v>
      </c>
      <c r="H31">
        <v>3.02</v>
      </c>
      <c r="I31" s="1" t="s">
        <v>639</v>
      </c>
      <c r="DI31">
        <f>119+99</f>
        <v>218</v>
      </c>
      <c r="DP31">
        <f>116+94</f>
        <v>210</v>
      </c>
      <c r="EI31">
        <f>64+67</f>
        <v>131</v>
      </c>
    </row>
    <row r="32" spans="1:580" x14ac:dyDescent="0.2">
      <c r="A32" t="s">
        <v>643</v>
      </c>
      <c r="B32" t="s">
        <v>644</v>
      </c>
      <c r="C32">
        <v>269</v>
      </c>
      <c r="D32">
        <f t="shared" ref="D32" si="34">SUM(J32:VI32)</f>
        <v>517</v>
      </c>
      <c r="E32">
        <f t="shared" ref="E32" si="35">COUNT(J32:VI32)</f>
        <v>5</v>
      </c>
      <c r="F32">
        <v>3.44</v>
      </c>
      <c r="G32">
        <v>3.68</v>
      </c>
      <c r="H32">
        <v>3.24</v>
      </c>
      <c r="I32" s="1" t="s">
        <v>645</v>
      </c>
      <c r="GD32">
        <f>21+10</f>
        <v>31</v>
      </c>
      <c r="IO32">
        <f>60+72</f>
        <v>132</v>
      </c>
      <c r="MO32">
        <f>34+13</f>
        <v>47</v>
      </c>
      <c r="RW32">
        <f>97+79</f>
        <v>176</v>
      </c>
      <c r="VE32">
        <f>51+80</f>
        <v>131</v>
      </c>
    </row>
    <row r="33" spans="1:581" x14ac:dyDescent="0.2">
      <c r="A33" t="s">
        <v>625</v>
      </c>
      <c r="B33" t="s">
        <v>626</v>
      </c>
      <c r="C33">
        <v>269</v>
      </c>
      <c r="D33">
        <f t="shared" ref="D33" si="36">SUM(J33:VI33)</f>
        <v>846</v>
      </c>
      <c r="E33">
        <f t="shared" ref="E33" si="37">COUNT(J33:VI33)</f>
        <v>5</v>
      </c>
      <c r="F33">
        <v>6.02</v>
      </c>
      <c r="G33">
        <v>14.72</v>
      </c>
      <c r="H33">
        <v>3.22</v>
      </c>
      <c r="I33" s="1" t="s">
        <v>627</v>
      </c>
      <c r="KM33">
        <f>29+17</f>
        <v>46</v>
      </c>
      <c r="LI33">
        <f>30+36</f>
        <v>66</v>
      </c>
      <c r="SY33">
        <f>210+124</f>
        <v>334</v>
      </c>
      <c r="UL33">
        <f>104+107</f>
        <v>211</v>
      </c>
      <c r="UQ33">
        <f>80+109</f>
        <v>189</v>
      </c>
    </row>
    <row r="34" spans="1:581" x14ac:dyDescent="0.2">
      <c r="A34" t="s">
        <v>649</v>
      </c>
      <c r="B34" t="s">
        <v>650</v>
      </c>
      <c r="C34">
        <v>269</v>
      </c>
      <c r="D34">
        <f t="shared" ref="D34" si="38">SUM(J34:VI34)</f>
        <v>467</v>
      </c>
      <c r="E34">
        <f t="shared" ref="E34" si="39">COUNT(J34:VI34)</f>
        <v>6</v>
      </c>
      <c r="F34">
        <v>3.87</v>
      </c>
      <c r="G34">
        <v>4.6100000000000003</v>
      </c>
      <c r="H34">
        <v>3.02</v>
      </c>
      <c r="I34" s="1" t="s">
        <v>651</v>
      </c>
      <c r="NR34">
        <f>9+12</f>
        <v>21</v>
      </c>
      <c r="NX34">
        <f>52+42</f>
        <v>94</v>
      </c>
      <c r="NY34">
        <f>99+75</f>
        <v>174</v>
      </c>
      <c r="PB34">
        <f>33+28</f>
        <v>61</v>
      </c>
      <c r="TJ34">
        <f>27+27</f>
        <v>54</v>
      </c>
      <c r="TQ34">
        <f>34+29</f>
        <v>63</v>
      </c>
    </row>
    <row r="35" spans="1:581" x14ac:dyDescent="0.2">
      <c r="A35" s="4" t="s">
        <v>640</v>
      </c>
      <c r="B35" s="4" t="s">
        <v>641</v>
      </c>
      <c r="C35" s="4">
        <v>269</v>
      </c>
      <c r="D35" s="4">
        <v>533</v>
      </c>
      <c r="E35" s="4">
        <v>8</v>
      </c>
      <c r="F35" s="4">
        <v>5.35</v>
      </c>
      <c r="G35" s="4">
        <v>9.82</v>
      </c>
      <c r="H35" s="4">
        <v>3.07</v>
      </c>
      <c r="I35" s="5" t="s">
        <v>642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>
        <v>17</v>
      </c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6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>
        <v>47</v>
      </c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>
        <v>48</v>
      </c>
      <c r="TB35" s="4">
        <v>27</v>
      </c>
      <c r="TC35" s="4">
        <v>131</v>
      </c>
      <c r="TD35" s="4">
        <v>128</v>
      </c>
      <c r="TE35" s="4"/>
      <c r="TF35" s="4">
        <v>98</v>
      </c>
      <c r="TG35" s="4"/>
      <c r="TH35" s="4"/>
      <c r="TI35" s="4"/>
      <c r="TJ35" s="4"/>
      <c r="TK35" s="4"/>
      <c r="TL35" s="4"/>
      <c r="TM35" s="4"/>
      <c r="TN35" s="4"/>
      <c r="TO35" s="4"/>
      <c r="TP35" s="4">
        <v>37</v>
      </c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</row>
    <row r="36" spans="1:581" x14ac:dyDescent="0.2">
      <c r="A36" t="s">
        <v>646</v>
      </c>
      <c r="B36" t="s">
        <v>647</v>
      </c>
      <c r="C36">
        <v>269</v>
      </c>
      <c r="D36">
        <f t="shared" ref="D36" si="40">SUM(J36:VI36)</f>
        <v>501</v>
      </c>
      <c r="E36">
        <f t="shared" ref="E36" si="41">COUNT(J36:VI36)</f>
        <v>9</v>
      </c>
      <c r="F36">
        <v>4.51</v>
      </c>
      <c r="G36">
        <v>7.68</v>
      </c>
      <c r="H36">
        <v>3.02</v>
      </c>
      <c r="I36" s="1" t="s">
        <v>648</v>
      </c>
      <c r="GD36">
        <f>23+10</f>
        <v>33</v>
      </c>
      <c r="HT36">
        <f>26+33</f>
        <v>59</v>
      </c>
      <c r="IR36">
        <f>32+36</f>
        <v>68</v>
      </c>
      <c r="JI36">
        <f>8+3</f>
        <v>11</v>
      </c>
      <c r="LQ36">
        <f>61+47</f>
        <v>108</v>
      </c>
      <c r="MA36">
        <f>11+1</f>
        <v>12</v>
      </c>
      <c r="QB36">
        <f>44+28</f>
        <v>72</v>
      </c>
      <c r="QH36">
        <f>14+3</f>
        <v>17</v>
      </c>
      <c r="RU36">
        <f>57+64</f>
        <v>121</v>
      </c>
    </row>
    <row r="37" spans="1:581" x14ac:dyDescent="0.2">
      <c r="A37" t="s">
        <v>652</v>
      </c>
      <c r="B37" t="s">
        <v>653</v>
      </c>
      <c r="C37">
        <v>60</v>
      </c>
      <c r="D37">
        <f t="shared" ref="D37:D72" si="42">SUM(J37:VI37)</f>
        <v>455</v>
      </c>
      <c r="E37">
        <f t="shared" ref="E37:E72" si="43">COUNT(J37:VI37)</f>
        <v>2</v>
      </c>
      <c r="F37">
        <v>4.55</v>
      </c>
      <c r="G37">
        <v>4.74</v>
      </c>
      <c r="H37">
        <v>4.3600000000000003</v>
      </c>
      <c r="I37" s="1" t="s">
        <v>654</v>
      </c>
      <c r="UC37">
        <f>215+22</f>
        <v>237</v>
      </c>
      <c r="UI37">
        <f>195+23</f>
        <v>218</v>
      </c>
    </row>
    <row r="38" spans="1:581" x14ac:dyDescent="0.2">
      <c r="A38" t="s">
        <v>655</v>
      </c>
      <c r="B38" t="s">
        <v>656</v>
      </c>
      <c r="C38">
        <v>260</v>
      </c>
      <c r="D38">
        <f t="shared" si="42"/>
        <v>376</v>
      </c>
      <c r="E38">
        <f t="shared" si="43"/>
        <v>7</v>
      </c>
      <c r="F38">
        <v>6.45</v>
      </c>
      <c r="G38">
        <v>9.67</v>
      </c>
      <c r="H38">
        <v>3.33</v>
      </c>
      <c r="I38" s="1" t="s">
        <v>657</v>
      </c>
      <c r="K38">
        <f>6+3</f>
        <v>9</v>
      </c>
      <c r="PT38">
        <f>4+0</f>
        <v>4</v>
      </c>
      <c r="PX38">
        <f>6+1</f>
        <v>7</v>
      </c>
      <c r="RD38">
        <f>26+16</f>
        <v>42</v>
      </c>
      <c r="RH38">
        <f>110+87</f>
        <v>197</v>
      </c>
      <c r="RJ38">
        <f>18+17</f>
        <v>35</v>
      </c>
      <c r="RK38">
        <f>48+34</f>
        <v>82</v>
      </c>
    </row>
    <row r="39" spans="1:581" x14ac:dyDescent="0.2">
      <c r="A39" t="s">
        <v>658</v>
      </c>
      <c r="B39" t="s">
        <v>659</v>
      </c>
      <c r="C39">
        <v>269</v>
      </c>
      <c r="D39">
        <f t="shared" si="42"/>
        <v>345</v>
      </c>
      <c r="E39">
        <f t="shared" si="43"/>
        <v>4</v>
      </c>
      <c r="F39">
        <v>4.2300000000000004</v>
      </c>
      <c r="G39">
        <v>5.92</v>
      </c>
      <c r="H39">
        <v>3.2</v>
      </c>
      <c r="I39" s="1" t="s">
        <v>660</v>
      </c>
      <c r="JA39">
        <f>127+77</f>
        <v>204</v>
      </c>
      <c r="TN39">
        <f>23+15</f>
        <v>38</v>
      </c>
      <c r="TP39">
        <f>12+10</f>
        <v>22</v>
      </c>
      <c r="TQ39">
        <f>48+33</f>
        <v>81</v>
      </c>
    </row>
    <row r="40" spans="1:581" x14ac:dyDescent="0.2">
      <c r="A40" t="s">
        <v>661</v>
      </c>
      <c r="B40" t="s">
        <v>662</v>
      </c>
      <c r="C40">
        <v>269</v>
      </c>
      <c r="D40">
        <f t="shared" si="42"/>
        <v>342</v>
      </c>
      <c r="E40">
        <f t="shared" si="43"/>
        <v>2</v>
      </c>
      <c r="F40">
        <v>3.71</v>
      </c>
      <c r="G40">
        <v>4.34</v>
      </c>
      <c r="H40">
        <v>3.08</v>
      </c>
      <c r="I40" s="1" t="s">
        <v>663</v>
      </c>
      <c r="EH40">
        <f>69+85</f>
        <v>154</v>
      </c>
      <c r="EI40">
        <f>84+104</f>
        <v>188</v>
      </c>
    </row>
    <row r="41" spans="1:581" x14ac:dyDescent="0.2">
      <c r="A41" t="s">
        <v>664</v>
      </c>
      <c r="B41" t="s">
        <v>665</v>
      </c>
      <c r="C41">
        <v>269</v>
      </c>
      <c r="D41">
        <f t="shared" si="42"/>
        <v>272</v>
      </c>
      <c r="E41">
        <f t="shared" si="43"/>
        <v>2</v>
      </c>
      <c r="F41">
        <v>4.57</v>
      </c>
      <c r="G41">
        <v>4.76</v>
      </c>
      <c r="H41">
        <v>4.3899999999999997</v>
      </c>
      <c r="I41" s="1" t="s">
        <v>666</v>
      </c>
      <c r="OF41">
        <f>128+84</f>
        <v>212</v>
      </c>
      <c r="PB41">
        <f>28+32</f>
        <v>60</v>
      </c>
    </row>
    <row r="42" spans="1:581" x14ac:dyDescent="0.2">
      <c r="A42" t="s">
        <v>667</v>
      </c>
      <c r="B42" t="s">
        <v>668</v>
      </c>
      <c r="C42">
        <v>269</v>
      </c>
      <c r="D42">
        <f t="shared" si="42"/>
        <v>257</v>
      </c>
      <c r="E42">
        <f t="shared" si="43"/>
        <v>2</v>
      </c>
      <c r="F42">
        <v>4.16</v>
      </c>
      <c r="G42">
        <v>4.37</v>
      </c>
      <c r="H42">
        <v>3.94</v>
      </c>
      <c r="I42" s="1" t="s">
        <v>669</v>
      </c>
      <c r="JR42">
        <f>113+84</f>
        <v>197</v>
      </c>
      <c r="PC42">
        <f>25+35</f>
        <v>60</v>
      </c>
    </row>
    <row r="43" spans="1:581" x14ac:dyDescent="0.2">
      <c r="A43" t="s">
        <v>670</v>
      </c>
      <c r="B43" t="s">
        <v>671</v>
      </c>
      <c r="C43">
        <v>269</v>
      </c>
      <c r="D43">
        <f t="shared" si="42"/>
        <v>257</v>
      </c>
      <c r="E43">
        <f t="shared" si="43"/>
        <v>1</v>
      </c>
      <c r="F43">
        <v>5.14</v>
      </c>
      <c r="G43">
        <v>5.14</v>
      </c>
      <c r="H43">
        <v>5.14</v>
      </c>
      <c r="I43" s="1" t="s">
        <v>672</v>
      </c>
      <c r="OR43">
        <f>110+147</f>
        <v>257</v>
      </c>
    </row>
    <row r="44" spans="1:581" x14ac:dyDescent="0.2">
      <c r="A44" t="s">
        <v>673</v>
      </c>
      <c r="B44" t="s">
        <v>674</v>
      </c>
      <c r="C44">
        <v>108</v>
      </c>
      <c r="D44">
        <f t="shared" si="42"/>
        <v>237</v>
      </c>
      <c r="E44">
        <f t="shared" si="43"/>
        <v>1</v>
      </c>
      <c r="F44">
        <v>4.74</v>
      </c>
      <c r="G44">
        <v>4.74</v>
      </c>
      <c r="H44">
        <v>4.74</v>
      </c>
      <c r="I44" s="1" t="s">
        <v>675</v>
      </c>
      <c r="EL44">
        <f>194+43</f>
        <v>237</v>
      </c>
    </row>
    <row r="45" spans="1:581" x14ac:dyDescent="0.2">
      <c r="A45" t="s">
        <v>676</v>
      </c>
      <c r="B45" t="s">
        <v>677</v>
      </c>
      <c r="C45">
        <v>269</v>
      </c>
      <c r="D45">
        <f t="shared" si="42"/>
        <v>221</v>
      </c>
      <c r="E45">
        <f t="shared" si="43"/>
        <v>3</v>
      </c>
      <c r="F45">
        <v>5.24</v>
      </c>
      <c r="G45">
        <v>8.2899999999999991</v>
      </c>
      <c r="H45">
        <v>3.04</v>
      </c>
      <c r="I45" s="1" t="s">
        <v>678</v>
      </c>
      <c r="PZ45">
        <f>58+88</f>
        <v>146</v>
      </c>
      <c r="QL45">
        <f>31+15</f>
        <v>46</v>
      </c>
      <c r="RB45">
        <f>16+13</f>
        <v>29</v>
      </c>
    </row>
    <row r="46" spans="1:581" x14ac:dyDescent="0.2">
      <c r="A46" t="s">
        <v>679</v>
      </c>
      <c r="B46" t="s">
        <v>680</v>
      </c>
      <c r="C46">
        <v>269</v>
      </c>
      <c r="D46">
        <f t="shared" si="42"/>
        <v>212</v>
      </c>
      <c r="E46">
        <f t="shared" si="43"/>
        <v>4</v>
      </c>
      <c r="F46">
        <v>3.34</v>
      </c>
      <c r="G46">
        <v>3.82</v>
      </c>
      <c r="H46">
        <v>3.02</v>
      </c>
      <c r="I46" s="1" t="s">
        <v>681</v>
      </c>
      <c r="PN46">
        <f>29+23</f>
        <v>52</v>
      </c>
      <c r="PX46">
        <f>4+0</f>
        <v>4</v>
      </c>
      <c r="SI46">
        <f>77+74</f>
        <v>151</v>
      </c>
      <c r="SR46">
        <f>5+0</f>
        <v>5</v>
      </c>
    </row>
    <row r="47" spans="1:581" x14ac:dyDescent="0.2">
      <c r="A47" t="s">
        <v>682</v>
      </c>
      <c r="B47" t="s">
        <v>683</v>
      </c>
      <c r="C47">
        <v>269</v>
      </c>
      <c r="D47">
        <f t="shared" si="42"/>
        <v>192</v>
      </c>
      <c r="E47">
        <f t="shared" si="43"/>
        <v>1</v>
      </c>
      <c r="F47">
        <v>3.84</v>
      </c>
      <c r="G47">
        <v>3.84</v>
      </c>
      <c r="H47">
        <v>3.84</v>
      </c>
      <c r="I47" s="1" t="s">
        <v>684</v>
      </c>
      <c r="ON47">
        <f>103+89</f>
        <v>192</v>
      </c>
    </row>
    <row r="48" spans="1:581" x14ac:dyDescent="0.2">
      <c r="A48" t="s">
        <v>685</v>
      </c>
      <c r="B48" t="s">
        <v>686</v>
      </c>
      <c r="C48">
        <v>289</v>
      </c>
      <c r="D48">
        <f t="shared" si="42"/>
        <v>156</v>
      </c>
      <c r="E48">
        <f t="shared" si="43"/>
        <v>2</v>
      </c>
      <c r="F48">
        <v>62.25</v>
      </c>
      <c r="G48">
        <v>63.48</v>
      </c>
      <c r="H48">
        <v>61.03</v>
      </c>
      <c r="I48" s="1" t="s">
        <v>687</v>
      </c>
      <c r="LZ48">
        <f>39+44</f>
        <v>83</v>
      </c>
      <c r="UT48">
        <f>34+39</f>
        <v>73</v>
      </c>
    </row>
    <row r="49" spans="1:572" x14ac:dyDescent="0.2">
      <c r="A49" t="s">
        <v>688</v>
      </c>
      <c r="B49" t="s">
        <v>689</v>
      </c>
      <c r="C49">
        <v>269</v>
      </c>
      <c r="D49">
        <f t="shared" si="42"/>
        <v>153</v>
      </c>
      <c r="E49">
        <f t="shared" si="43"/>
        <v>1</v>
      </c>
      <c r="F49">
        <v>3.06</v>
      </c>
      <c r="G49">
        <v>3.06</v>
      </c>
      <c r="H49">
        <v>3.06</v>
      </c>
      <c r="I49" s="1" t="s">
        <v>690</v>
      </c>
      <c r="OE49">
        <f>76+77</f>
        <v>153</v>
      </c>
    </row>
    <row r="50" spans="1:572" x14ac:dyDescent="0.2">
      <c r="A50" t="s">
        <v>691</v>
      </c>
      <c r="B50" t="s">
        <v>692</v>
      </c>
      <c r="C50">
        <v>269</v>
      </c>
      <c r="D50">
        <f t="shared" si="42"/>
        <v>150</v>
      </c>
      <c r="E50">
        <f t="shared" si="43"/>
        <v>1</v>
      </c>
      <c r="F50">
        <v>3.98</v>
      </c>
      <c r="G50">
        <v>3.98</v>
      </c>
      <c r="H50">
        <v>3.98</v>
      </c>
      <c r="I50" s="1" t="s">
        <v>693</v>
      </c>
      <c r="LO50">
        <f>83+67</f>
        <v>150</v>
      </c>
    </row>
    <row r="51" spans="1:572" x14ac:dyDescent="0.2">
      <c r="A51" t="s">
        <v>694</v>
      </c>
      <c r="B51" t="s">
        <v>695</v>
      </c>
      <c r="C51">
        <v>269</v>
      </c>
      <c r="D51">
        <f t="shared" si="42"/>
        <v>148</v>
      </c>
      <c r="E51">
        <f t="shared" si="43"/>
        <v>2</v>
      </c>
      <c r="F51">
        <v>3.5</v>
      </c>
      <c r="G51">
        <v>3.74</v>
      </c>
      <c r="H51">
        <v>3.25</v>
      </c>
      <c r="I51" s="1" t="s">
        <v>696</v>
      </c>
      <c r="LT51">
        <f>49+69</f>
        <v>118</v>
      </c>
      <c r="NH51">
        <f>19+11</f>
        <v>30</v>
      </c>
    </row>
    <row r="52" spans="1:572" x14ac:dyDescent="0.2">
      <c r="A52" t="s">
        <v>697</v>
      </c>
      <c r="B52" t="s">
        <v>698</v>
      </c>
      <c r="C52">
        <v>269</v>
      </c>
      <c r="D52">
        <f t="shared" si="42"/>
        <v>147</v>
      </c>
      <c r="E52">
        <f t="shared" si="43"/>
        <v>2</v>
      </c>
      <c r="F52">
        <v>5.28</v>
      </c>
      <c r="G52">
        <v>5.89</v>
      </c>
      <c r="H52">
        <v>4.68</v>
      </c>
      <c r="I52" s="1" t="s">
        <v>699</v>
      </c>
      <c r="OZ52">
        <f>51+57</f>
        <v>108</v>
      </c>
      <c r="PA52">
        <f>14+25</f>
        <v>39</v>
      </c>
    </row>
    <row r="53" spans="1:572" x14ac:dyDescent="0.2">
      <c r="A53" t="s">
        <v>700</v>
      </c>
      <c r="B53" t="s">
        <v>701</v>
      </c>
      <c r="C53">
        <v>269</v>
      </c>
      <c r="D53">
        <f t="shared" si="42"/>
        <v>134</v>
      </c>
      <c r="E53">
        <f t="shared" si="43"/>
        <v>4</v>
      </c>
      <c r="F53">
        <v>3.85</v>
      </c>
      <c r="G53">
        <v>4.8600000000000003</v>
      </c>
      <c r="H53">
        <v>3.37</v>
      </c>
      <c r="I53" s="1" t="s">
        <v>702</v>
      </c>
      <c r="LY53">
        <f>14+9</f>
        <v>23</v>
      </c>
      <c r="MP53">
        <f>45+21</f>
        <v>66</v>
      </c>
      <c r="MT53">
        <f>6+3</f>
        <v>9</v>
      </c>
      <c r="MV53">
        <f>19+17</f>
        <v>36</v>
      </c>
    </row>
    <row r="54" spans="1:572" x14ac:dyDescent="0.2">
      <c r="A54" t="s">
        <v>703</v>
      </c>
      <c r="B54" t="s">
        <v>704</v>
      </c>
      <c r="C54">
        <v>269</v>
      </c>
      <c r="D54">
        <f t="shared" si="42"/>
        <v>126</v>
      </c>
      <c r="E54">
        <f t="shared" si="43"/>
        <v>1</v>
      </c>
      <c r="F54">
        <v>3.34</v>
      </c>
      <c r="G54">
        <v>3.34</v>
      </c>
      <c r="H54">
        <v>3.34</v>
      </c>
      <c r="I54" s="1" t="s">
        <v>705</v>
      </c>
      <c r="LO54">
        <f>59+67</f>
        <v>126</v>
      </c>
    </row>
    <row r="55" spans="1:572" x14ac:dyDescent="0.2">
      <c r="A55" t="s">
        <v>706</v>
      </c>
      <c r="B55" t="s">
        <v>707</v>
      </c>
      <c r="C55">
        <v>269</v>
      </c>
      <c r="D55">
        <f t="shared" si="42"/>
        <v>110</v>
      </c>
      <c r="E55">
        <f t="shared" si="43"/>
        <v>1</v>
      </c>
      <c r="F55">
        <v>3.49</v>
      </c>
      <c r="G55">
        <v>3.49</v>
      </c>
      <c r="H55">
        <v>3.49</v>
      </c>
      <c r="I55" s="1" t="s">
        <v>708</v>
      </c>
      <c r="MI55">
        <f>59+51</f>
        <v>110</v>
      </c>
    </row>
    <row r="56" spans="1:572" x14ac:dyDescent="0.2">
      <c r="A56" t="s">
        <v>709</v>
      </c>
      <c r="B56" t="s">
        <v>710</v>
      </c>
      <c r="C56">
        <v>269</v>
      </c>
      <c r="D56">
        <f t="shared" si="42"/>
        <v>81</v>
      </c>
      <c r="E56">
        <f t="shared" si="43"/>
        <v>1</v>
      </c>
      <c r="F56">
        <v>4.5199999999999996</v>
      </c>
      <c r="G56">
        <v>4.5199999999999996</v>
      </c>
      <c r="H56">
        <v>4.5199999999999996</v>
      </c>
      <c r="I56" s="1" t="s">
        <v>711</v>
      </c>
      <c r="JS56">
        <f>35+46</f>
        <v>81</v>
      </c>
    </row>
    <row r="57" spans="1:572" x14ac:dyDescent="0.2">
      <c r="A57" t="s">
        <v>712</v>
      </c>
      <c r="B57" t="s">
        <v>713</v>
      </c>
      <c r="C57">
        <v>269</v>
      </c>
      <c r="D57">
        <f t="shared" si="42"/>
        <v>29</v>
      </c>
      <c r="E57">
        <f t="shared" si="43"/>
        <v>1</v>
      </c>
      <c r="F57">
        <v>4.17</v>
      </c>
      <c r="G57">
        <v>4.17</v>
      </c>
      <c r="H57">
        <v>4.17</v>
      </c>
      <c r="I57" s="1" t="s">
        <v>714</v>
      </c>
      <c r="NR57">
        <f>19+10</f>
        <v>29</v>
      </c>
    </row>
    <row r="58" spans="1:572" x14ac:dyDescent="0.2">
      <c r="A58" t="s">
        <v>715</v>
      </c>
      <c r="B58" t="s">
        <v>716</v>
      </c>
      <c r="C58">
        <v>102</v>
      </c>
      <c r="D58">
        <f t="shared" si="42"/>
        <v>23</v>
      </c>
      <c r="E58">
        <f t="shared" si="43"/>
        <v>4</v>
      </c>
      <c r="F58">
        <v>3.43</v>
      </c>
      <c r="G58">
        <v>4.17</v>
      </c>
      <c r="H58">
        <v>3.04</v>
      </c>
      <c r="I58" s="1" t="s">
        <v>717</v>
      </c>
      <c r="R58">
        <f>6+0</f>
        <v>6</v>
      </c>
      <c r="Y58">
        <f>5+0</f>
        <v>5</v>
      </c>
      <c r="Z58">
        <f>5+0</f>
        <v>5</v>
      </c>
      <c r="AK58">
        <f>5+2</f>
        <v>7</v>
      </c>
    </row>
    <row r="59" spans="1:572" x14ac:dyDescent="0.2">
      <c r="A59" t="s">
        <v>718</v>
      </c>
      <c r="B59" t="s">
        <v>719</v>
      </c>
      <c r="C59">
        <v>130</v>
      </c>
      <c r="D59">
        <f t="shared" si="42"/>
        <v>21</v>
      </c>
      <c r="E59">
        <f t="shared" si="43"/>
        <v>3</v>
      </c>
      <c r="F59">
        <v>4.2</v>
      </c>
      <c r="G59">
        <v>5</v>
      </c>
      <c r="H59">
        <v>3.47</v>
      </c>
      <c r="I59" s="1" t="s">
        <v>720</v>
      </c>
      <c r="R59">
        <f>5+0</f>
        <v>5</v>
      </c>
      <c r="AQ59">
        <f>5+1</f>
        <v>6</v>
      </c>
      <c r="TY59">
        <f>10+0</f>
        <v>10</v>
      </c>
    </row>
    <row r="60" spans="1:572" x14ac:dyDescent="0.2">
      <c r="A60" t="s">
        <v>721</v>
      </c>
      <c r="B60" t="s">
        <v>722</v>
      </c>
      <c r="C60">
        <v>269</v>
      </c>
      <c r="D60">
        <f t="shared" si="42"/>
        <v>13</v>
      </c>
      <c r="E60">
        <f t="shared" si="43"/>
        <v>1</v>
      </c>
      <c r="F60">
        <v>3.27</v>
      </c>
      <c r="G60">
        <v>3.27</v>
      </c>
      <c r="H60">
        <v>3.27</v>
      </c>
      <c r="I60" s="1" t="s">
        <v>723</v>
      </c>
      <c r="UZ60">
        <f>9+4</f>
        <v>13</v>
      </c>
    </row>
    <row r="61" spans="1:572" x14ac:dyDescent="0.2">
      <c r="A61" t="s">
        <v>724</v>
      </c>
      <c r="B61" t="s">
        <v>725</v>
      </c>
      <c r="C61">
        <v>54</v>
      </c>
      <c r="D61">
        <f t="shared" si="42"/>
        <v>10</v>
      </c>
      <c r="E61">
        <f t="shared" si="43"/>
        <v>1</v>
      </c>
      <c r="F61">
        <v>4.3899999999999997</v>
      </c>
      <c r="G61">
        <v>4.3899999999999997</v>
      </c>
      <c r="H61">
        <v>4.3899999999999997</v>
      </c>
      <c r="I61" s="1" t="s">
        <v>726</v>
      </c>
      <c r="KV61">
        <f>10+0</f>
        <v>10</v>
      </c>
    </row>
    <row r="62" spans="1:572" x14ac:dyDescent="0.2">
      <c r="A62" t="s">
        <v>727</v>
      </c>
      <c r="B62" t="s">
        <v>728</v>
      </c>
      <c r="C62">
        <v>269</v>
      </c>
      <c r="D62">
        <f t="shared" si="42"/>
        <v>9</v>
      </c>
      <c r="E62">
        <f t="shared" si="43"/>
        <v>1</v>
      </c>
      <c r="F62">
        <v>3.26</v>
      </c>
      <c r="G62">
        <v>3.26</v>
      </c>
      <c r="H62">
        <v>3.26</v>
      </c>
      <c r="I62" s="1" t="s">
        <v>729</v>
      </c>
      <c r="SF62">
        <f>6+3</f>
        <v>9</v>
      </c>
    </row>
    <row r="63" spans="1:572" x14ac:dyDescent="0.2">
      <c r="A63" t="s">
        <v>730</v>
      </c>
      <c r="B63" t="s">
        <v>731</v>
      </c>
      <c r="C63">
        <v>92</v>
      </c>
      <c r="D63">
        <f t="shared" si="42"/>
        <v>8</v>
      </c>
      <c r="E63">
        <f t="shared" si="43"/>
        <v>2</v>
      </c>
      <c r="F63">
        <v>3.42</v>
      </c>
      <c r="G63">
        <v>3.48</v>
      </c>
      <c r="H63">
        <v>3.36</v>
      </c>
      <c r="I63" s="1" t="s">
        <v>732</v>
      </c>
      <c r="BA63">
        <f>4+0</f>
        <v>4</v>
      </c>
      <c r="BL63">
        <f>4+0</f>
        <v>4</v>
      </c>
    </row>
    <row r="64" spans="1:572" x14ac:dyDescent="0.2">
      <c r="A64" t="s">
        <v>733</v>
      </c>
      <c r="B64" t="s">
        <v>734</v>
      </c>
      <c r="C64">
        <v>269</v>
      </c>
      <c r="D64">
        <f t="shared" si="42"/>
        <v>5</v>
      </c>
      <c r="E64">
        <f t="shared" si="43"/>
        <v>1</v>
      </c>
      <c r="F64">
        <v>3.82</v>
      </c>
      <c r="G64">
        <v>3.82</v>
      </c>
      <c r="H64">
        <v>3.82</v>
      </c>
      <c r="I64" s="1" t="s">
        <v>735</v>
      </c>
      <c r="SR64">
        <f>5+0</f>
        <v>5</v>
      </c>
    </row>
    <row r="65" spans="1:441" x14ac:dyDescent="0.2">
      <c r="A65" t="s">
        <v>736</v>
      </c>
      <c r="B65" t="s">
        <v>737</v>
      </c>
      <c r="C65">
        <v>100</v>
      </c>
      <c r="D65">
        <f t="shared" si="42"/>
        <v>5</v>
      </c>
      <c r="E65">
        <f t="shared" si="43"/>
        <v>1</v>
      </c>
      <c r="F65">
        <v>3.25</v>
      </c>
      <c r="G65">
        <v>3.25</v>
      </c>
      <c r="H65">
        <v>3.25</v>
      </c>
      <c r="I65" s="1" t="s">
        <v>738</v>
      </c>
      <c r="U65">
        <f>5+0</f>
        <v>5</v>
      </c>
    </row>
    <row r="66" spans="1:441" x14ac:dyDescent="0.2">
      <c r="A66" t="s">
        <v>739</v>
      </c>
      <c r="B66" t="s">
        <v>740</v>
      </c>
      <c r="C66">
        <v>70</v>
      </c>
      <c r="D66">
        <f t="shared" si="42"/>
        <v>4</v>
      </c>
      <c r="E66">
        <f t="shared" si="43"/>
        <v>1</v>
      </c>
      <c r="F66">
        <v>3.08</v>
      </c>
      <c r="G66">
        <v>3.08</v>
      </c>
      <c r="H66">
        <v>3.08</v>
      </c>
      <c r="I66" s="1" t="s">
        <v>741</v>
      </c>
      <c r="BM66">
        <f>4+0</f>
        <v>4</v>
      </c>
    </row>
    <row r="67" spans="1:441" x14ac:dyDescent="0.2">
      <c r="A67" t="s">
        <v>742</v>
      </c>
      <c r="B67" t="s">
        <v>743</v>
      </c>
      <c r="C67">
        <v>130</v>
      </c>
      <c r="D67">
        <f t="shared" si="42"/>
        <v>4</v>
      </c>
      <c r="E67">
        <f t="shared" si="43"/>
        <v>1</v>
      </c>
      <c r="F67">
        <v>3.36</v>
      </c>
      <c r="G67">
        <v>3.36</v>
      </c>
      <c r="H67">
        <v>3.36</v>
      </c>
      <c r="I67" s="1" t="s">
        <v>744</v>
      </c>
      <c r="BL67">
        <f>4+0</f>
        <v>4</v>
      </c>
    </row>
    <row r="68" spans="1:441" x14ac:dyDescent="0.2">
      <c r="A68" t="s">
        <v>745</v>
      </c>
      <c r="B68" t="s">
        <v>746</v>
      </c>
      <c r="C68">
        <v>54</v>
      </c>
      <c r="D68">
        <f t="shared" si="42"/>
        <v>4</v>
      </c>
      <c r="E68">
        <f t="shared" si="43"/>
        <v>1</v>
      </c>
      <c r="F68">
        <v>3.48</v>
      </c>
      <c r="G68">
        <v>3.48</v>
      </c>
      <c r="H68">
        <v>3.48</v>
      </c>
      <c r="I68" s="1" t="s">
        <v>747</v>
      </c>
      <c r="BA68">
        <f>4+0</f>
        <v>4</v>
      </c>
    </row>
    <row r="69" spans="1:441" x14ac:dyDescent="0.2">
      <c r="A69" t="s">
        <v>748</v>
      </c>
      <c r="B69" t="s">
        <v>749</v>
      </c>
      <c r="C69">
        <v>268</v>
      </c>
      <c r="D69">
        <f t="shared" si="42"/>
        <v>4</v>
      </c>
      <c r="E69">
        <f t="shared" si="43"/>
        <v>1</v>
      </c>
      <c r="F69">
        <v>3.51</v>
      </c>
      <c r="G69">
        <v>3.51</v>
      </c>
      <c r="H69">
        <v>3.51</v>
      </c>
      <c r="I69" s="1" t="s">
        <v>750</v>
      </c>
      <c r="PX69">
        <f>4+0</f>
        <v>4</v>
      </c>
    </row>
    <row r="70" spans="1:441" x14ac:dyDescent="0.2">
      <c r="A70" t="s">
        <v>751</v>
      </c>
      <c r="B70" t="s">
        <v>752</v>
      </c>
      <c r="C70">
        <v>269</v>
      </c>
      <c r="D70">
        <f t="shared" si="42"/>
        <v>3</v>
      </c>
      <c r="E70">
        <f t="shared" si="43"/>
        <v>1</v>
      </c>
      <c r="F70">
        <v>3</v>
      </c>
      <c r="G70">
        <v>3</v>
      </c>
      <c r="H70">
        <v>3</v>
      </c>
      <c r="I70" s="1" t="s">
        <v>753</v>
      </c>
      <c r="PY70">
        <f>3+0</f>
        <v>3</v>
      </c>
    </row>
    <row r="71" spans="1:441" x14ac:dyDescent="0.2">
      <c r="A71" t="s">
        <v>754</v>
      </c>
      <c r="B71" t="s">
        <v>755</v>
      </c>
      <c r="C71">
        <v>269</v>
      </c>
      <c r="D71">
        <f t="shared" si="42"/>
        <v>3</v>
      </c>
      <c r="E71">
        <f t="shared" si="43"/>
        <v>1</v>
      </c>
      <c r="F71">
        <v>3</v>
      </c>
      <c r="G71">
        <v>3</v>
      </c>
      <c r="H71">
        <v>3</v>
      </c>
      <c r="I71" s="1" t="s">
        <v>756</v>
      </c>
      <c r="PY71">
        <f>3+0</f>
        <v>3</v>
      </c>
    </row>
    <row r="72" spans="1:441" x14ac:dyDescent="0.2">
      <c r="A72" t="s">
        <v>757</v>
      </c>
      <c r="B72" t="s">
        <v>758</v>
      </c>
      <c r="C72">
        <v>269</v>
      </c>
      <c r="D72">
        <f t="shared" si="42"/>
        <v>3</v>
      </c>
      <c r="E72">
        <f t="shared" si="43"/>
        <v>1</v>
      </c>
      <c r="F72">
        <v>3</v>
      </c>
      <c r="G72">
        <v>3</v>
      </c>
      <c r="H72">
        <v>3</v>
      </c>
      <c r="I72" s="1" t="s">
        <v>759</v>
      </c>
      <c r="PY72">
        <f>3+0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AllSamples1_30_24</vt:lpstr>
    </vt:vector>
  </TitlesOfParts>
  <Company>SixthResearcher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AmpliSAT results</dc:title>
  <dc:creator>Alvaro Sebastian</dc:creator>
  <dc:description>AmpliSAT results</dc:description>
  <cp:lastModifiedBy>Maryam Ghoojaei</cp:lastModifiedBy>
  <dcterms:created xsi:type="dcterms:W3CDTF">2024-01-31T18:36:34Z</dcterms:created>
  <dcterms:modified xsi:type="dcterms:W3CDTF">2026-10-20T20:30:11Z</dcterms:modified>
</cp:coreProperties>
</file>